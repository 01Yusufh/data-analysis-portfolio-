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ELL\Desktop\GitHub\Personal_Finance_Dashbord\"/>
    </mc:Choice>
  </mc:AlternateContent>
  <xr:revisionPtr revIDLastSave="0" documentId="13_ncr:1_{BEFFB5C5-5758-439D-885E-1F6F7CBE6187}" xr6:coauthVersionLast="47" xr6:coauthVersionMax="47" xr10:uidLastSave="{00000000-0000-0000-0000-000000000000}"/>
  <bookViews>
    <workbookView xWindow="-120" yWindow="-120" windowWidth="20730" windowHeight="11760" activeTab="2" xr2:uid="{00000000-000D-0000-FFFF-FFFF00000000}"/>
  </bookViews>
  <sheets>
    <sheet name="Transactions" sheetId="1" r:id="rId1"/>
    <sheet name="PivotTables" sheetId="4" r:id="rId2"/>
    <sheet name="Dashboard" sheetId="5" r:id="rId3"/>
  </sheets>
  <definedNames>
    <definedName name="Slicer_Expense_Category">#N/A</definedName>
    <definedName name="Slicer_Month">#N/A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5" l="1"/>
  <c r="B4" i="5"/>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I2" i="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I302" i="1"/>
  <c r="J302" i="1" s="1"/>
  <c r="I303" i="1"/>
  <c r="J303" i="1" s="1"/>
  <c r="I304" i="1"/>
  <c r="J304" i="1" s="1"/>
  <c r="I305" i="1"/>
  <c r="J305" i="1" s="1"/>
  <c r="I306" i="1"/>
  <c r="J306" i="1" s="1"/>
  <c r="I307" i="1"/>
  <c r="J307" i="1" s="1"/>
  <c r="I308" i="1"/>
  <c r="J308" i="1" s="1"/>
  <c r="I309" i="1"/>
  <c r="J309" i="1" s="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J322" i="1" s="1"/>
  <c r="I323" i="1"/>
  <c r="J323" i="1" s="1"/>
  <c r="I324" i="1"/>
  <c r="J324" i="1" s="1"/>
  <c r="I325" i="1"/>
  <c r="J325" i="1" s="1"/>
  <c r="I326" i="1"/>
  <c r="J326" i="1" s="1"/>
  <c r="I327" i="1"/>
  <c r="J327" i="1" s="1"/>
  <c r="I328" i="1"/>
  <c r="J328" i="1" s="1"/>
  <c r="I329" i="1"/>
  <c r="J329" i="1" s="1"/>
  <c r="I330" i="1"/>
  <c r="J330" i="1" s="1"/>
  <c r="I331" i="1"/>
  <c r="J331" i="1" s="1"/>
  <c r="I332" i="1"/>
  <c r="J332" i="1" s="1"/>
  <c r="I333" i="1"/>
  <c r="J333" i="1" s="1"/>
  <c r="I334" i="1"/>
  <c r="J334" i="1" s="1"/>
  <c r="I335" i="1"/>
  <c r="J335" i="1" s="1"/>
  <c r="I336" i="1"/>
  <c r="J336" i="1" s="1"/>
  <c r="I337" i="1"/>
  <c r="J337" i="1" s="1"/>
  <c r="I338" i="1"/>
  <c r="J338" i="1" s="1"/>
  <c r="I339" i="1"/>
  <c r="J339" i="1" s="1"/>
  <c r="I340" i="1"/>
  <c r="J340" i="1" s="1"/>
  <c r="I341" i="1"/>
  <c r="J341" i="1" s="1"/>
  <c r="I342" i="1"/>
  <c r="J342" i="1" s="1"/>
  <c r="I343" i="1"/>
  <c r="J343" i="1" s="1"/>
  <c r="I344" i="1"/>
  <c r="J344" i="1" s="1"/>
  <c r="I345" i="1"/>
  <c r="J345" i="1" s="1"/>
  <c r="I346" i="1"/>
  <c r="J346" i="1" s="1"/>
  <c r="I347" i="1"/>
  <c r="J347" i="1" s="1"/>
  <c r="I348" i="1"/>
  <c r="J348" i="1" s="1"/>
  <c r="I349" i="1"/>
  <c r="J349" i="1" s="1"/>
  <c r="I350" i="1"/>
  <c r="J350" i="1" s="1"/>
  <c r="I351" i="1"/>
  <c r="J351" i="1" s="1"/>
  <c r="I352" i="1"/>
  <c r="J352" i="1" s="1"/>
  <c r="I353" i="1"/>
  <c r="J353" i="1" s="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J366" i="1" s="1"/>
  <c r="I367" i="1"/>
  <c r="J367" i="1" s="1"/>
  <c r="I368" i="1"/>
  <c r="J368" i="1" s="1"/>
  <c r="I369" i="1"/>
  <c r="J369" i="1" s="1"/>
  <c r="I370" i="1"/>
  <c r="J370" i="1" s="1"/>
  <c r="I371" i="1"/>
  <c r="J371" i="1" s="1"/>
  <c r="I372" i="1"/>
  <c r="J372" i="1" s="1"/>
  <c r="I373" i="1"/>
  <c r="J373" i="1" s="1"/>
  <c r="I374" i="1"/>
  <c r="J374" i="1" s="1"/>
  <c r="I375" i="1"/>
  <c r="J375" i="1" s="1"/>
  <c r="I376" i="1"/>
  <c r="J376" i="1" s="1"/>
  <c r="I377" i="1"/>
  <c r="J377" i="1" s="1"/>
  <c r="I378" i="1"/>
  <c r="J378" i="1" s="1"/>
  <c r="I379" i="1"/>
  <c r="J379" i="1" s="1"/>
  <c r="I380" i="1"/>
  <c r="J380" i="1" s="1"/>
  <c r="I381" i="1"/>
  <c r="J381" i="1" s="1"/>
  <c r="I382" i="1"/>
  <c r="J382" i="1" s="1"/>
  <c r="I383" i="1"/>
  <c r="J383" i="1" s="1"/>
  <c r="I384" i="1"/>
  <c r="J384" i="1" s="1"/>
  <c r="I385" i="1"/>
  <c r="J385" i="1" s="1"/>
  <c r="I386" i="1"/>
  <c r="J386" i="1" s="1"/>
  <c r="I387" i="1"/>
  <c r="J387" i="1" s="1"/>
  <c r="I388" i="1"/>
  <c r="J388" i="1" s="1"/>
  <c r="I389" i="1"/>
  <c r="J389" i="1" s="1"/>
  <c r="I390" i="1"/>
  <c r="J390" i="1" s="1"/>
  <c r="I391" i="1"/>
  <c r="J391" i="1" s="1"/>
  <c r="I392" i="1"/>
  <c r="J392" i="1" s="1"/>
  <c r="I393" i="1"/>
  <c r="J393" i="1" s="1"/>
  <c r="I394" i="1"/>
  <c r="J394" i="1" s="1"/>
  <c r="I395" i="1"/>
  <c r="J395" i="1" s="1"/>
  <c r="I396" i="1"/>
  <c r="J396" i="1" s="1"/>
  <c r="I397" i="1"/>
  <c r="J397" i="1" s="1"/>
  <c r="I398" i="1"/>
  <c r="J398" i="1" s="1"/>
  <c r="I399" i="1"/>
  <c r="J399" i="1" s="1"/>
  <c r="I400" i="1"/>
  <c r="J400" i="1" s="1"/>
  <c r="I401" i="1"/>
  <c r="J401" i="1" s="1"/>
  <c r="I402" i="1"/>
  <c r="J402" i="1" s="1"/>
  <c r="I403" i="1"/>
  <c r="J403" i="1" s="1"/>
  <c r="I404" i="1"/>
  <c r="J404" i="1" s="1"/>
  <c r="I405" i="1"/>
  <c r="J405" i="1" s="1"/>
  <c r="I406" i="1"/>
  <c r="J406" i="1" s="1"/>
  <c r="I407" i="1"/>
  <c r="J407" i="1" s="1"/>
  <c r="I408" i="1"/>
  <c r="J408" i="1" s="1"/>
  <c r="I409" i="1"/>
  <c r="J409" i="1" s="1"/>
  <c r="I410" i="1"/>
  <c r="J410" i="1" s="1"/>
  <c r="I411" i="1"/>
  <c r="J411" i="1" s="1"/>
  <c r="I412" i="1"/>
  <c r="J412" i="1" s="1"/>
  <c r="I413" i="1"/>
  <c r="J413" i="1" s="1"/>
  <c r="I414" i="1"/>
  <c r="J414" i="1" s="1"/>
  <c r="I415" i="1"/>
  <c r="J415" i="1" s="1"/>
  <c r="I416" i="1"/>
  <c r="J416" i="1" s="1"/>
  <c r="I417" i="1"/>
  <c r="J417" i="1" s="1"/>
  <c r="I418" i="1"/>
  <c r="J418" i="1" s="1"/>
  <c r="I419" i="1"/>
  <c r="J419" i="1" s="1"/>
  <c r="I420" i="1"/>
  <c r="J420" i="1" s="1"/>
  <c r="I421" i="1"/>
  <c r="J421" i="1" s="1"/>
  <c r="I422" i="1"/>
  <c r="J422" i="1" s="1"/>
  <c r="I423" i="1"/>
  <c r="J423" i="1" s="1"/>
  <c r="I424" i="1"/>
  <c r="J424" i="1" s="1"/>
  <c r="I425" i="1"/>
  <c r="J425" i="1" s="1"/>
  <c r="I426" i="1"/>
  <c r="J426" i="1" s="1"/>
  <c r="I427" i="1"/>
  <c r="J427" i="1" s="1"/>
  <c r="I428" i="1"/>
  <c r="J428" i="1" s="1"/>
  <c r="I429" i="1"/>
  <c r="J429" i="1" s="1"/>
  <c r="I430" i="1"/>
  <c r="J430" i="1" s="1"/>
  <c r="I431" i="1"/>
  <c r="J431" i="1" s="1"/>
  <c r="I432" i="1"/>
  <c r="J432" i="1" s="1"/>
  <c r="I433" i="1"/>
  <c r="J433" i="1" s="1"/>
  <c r="I434" i="1"/>
  <c r="J434" i="1" s="1"/>
  <c r="I435" i="1"/>
  <c r="J435" i="1" s="1"/>
  <c r="I436" i="1"/>
  <c r="J436" i="1" s="1"/>
  <c r="I437" i="1"/>
  <c r="J437" i="1" s="1"/>
  <c r="D4" i="5" l="1"/>
  <c r="E4" i="5" s="1"/>
</calcChain>
</file>

<file path=xl/sharedStrings.xml><?xml version="1.0" encoding="utf-8"?>
<sst xmlns="http://schemas.openxmlformats.org/spreadsheetml/2006/main" count="2302" uniqueCount="66">
  <si>
    <t>Date</t>
  </si>
  <si>
    <t>Month</t>
  </si>
  <si>
    <t>Income Source</t>
  </si>
  <si>
    <t>Expense Category</t>
  </si>
  <si>
    <t>Description</t>
  </si>
  <si>
    <t>Type</t>
  </si>
  <si>
    <t>Amount (₦)</t>
  </si>
  <si>
    <t>Payment Method</t>
  </si>
  <si>
    <t>Jan</t>
  </si>
  <si>
    <t>Salary</t>
  </si>
  <si>
    <t>Monthly Salary</t>
  </si>
  <si>
    <t>Income</t>
  </si>
  <si>
    <t>Transfer</t>
  </si>
  <si>
    <t>Utilities</t>
  </si>
  <si>
    <t>Expense</t>
  </si>
  <si>
    <t>Card</t>
  </si>
  <si>
    <t>Miscellaneous</t>
  </si>
  <si>
    <t>Groceries</t>
  </si>
  <si>
    <t>Healthcare</t>
  </si>
  <si>
    <t>Mobile Money</t>
  </si>
  <si>
    <t>Bonus</t>
  </si>
  <si>
    <t>Dining</t>
  </si>
  <si>
    <t>Rent</t>
  </si>
  <si>
    <t>Investment</t>
  </si>
  <si>
    <t>Cash</t>
  </si>
  <si>
    <t>Entertainment</t>
  </si>
  <si>
    <t>Education</t>
  </si>
  <si>
    <t>Insurance</t>
  </si>
  <si>
    <t>Business</t>
  </si>
  <si>
    <t>Gifts</t>
  </si>
  <si>
    <t>Internet</t>
  </si>
  <si>
    <t>Freelance</t>
  </si>
  <si>
    <t>Transport</t>
  </si>
  <si>
    <t>Feb</t>
  </si>
  <si>
    <t>Shopping</t>
  </si>
  <si>
    <t>Mar</t>
  </si>
  <si>
    <t>Apr</t>
  </si>
  <si>
    <t>May</t>
  </si>
  <si>
    <t>Jun</t>
  </si>
  <si>
    <t>Jul</t>
  </si>
  <si>
    <t>Aug</t>
  </si>
  <si>
    <t>Sep</t>
  </si>
  <si>
    <t>Oct</t>
  </si>
  <si>
    <t>Nov</t>
  </si>
  <si>
    <t>Dec</t>
  </si>
  <si>
    <t>Day</t>
  </si>
  <si>
    <t>Day Type</t>
  </si>
  <si>
    <t>Year</t>
  </si>
  <si>
    <t>Savings</t>
  </si>
  <si>
    <t>Row Labels</t>
  </si>
  <si>
    <t>Grand Total</t>
  </si>
  <si>
    <t>Sum of Amount (₦)</t>
  </si>
  <si>
    <t>Sunday</t>
  </si>
  <si>
    <t>Monday</t>
  </si>
  <si>
    <t>Tuesday</t>
  </si>
  <si>
    <t>Wednesday</t>
  </si>
  <si>
    <t>Thursday</t>
  </si>
  <si>
    <t>Friday</t>
  </si>
  <si>
    <t>Saturday</t>
  </si>
  <si>
    <t>Weekday</t>
  </si>
  <si>
    <t>Weekend</t>
  </si>
  <si>
    <t>Total Income</t>
  </si>
  <si>
    <t>Total Expenses</t>
  </si>
  <si>
    <t>Total Savings</t>
  </si>
  <si>
    <t>Saving Rate</t>
  </si>
  <si>
    <t>Personal Finance Dashboard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</si>
</sst>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 [$₦-467];\-#,##0.00\ [$₦-467]"/>
    <numFmt numFmtId="166" formatCode="\₦"/>
    <numFmt numFmtId="167" formatCode="[$₦-468]\ #,##0;[Red][$₦-468]\ #,##0"/>
  </numFmts>
  <fonts count="5">
    <font>
      <sz val="11"/>
      <color theme="1"/>
      <name val="Calibri"/>
      <family val="2"/>
      <scheme val="minor"/>
    </font>
    <font>
      <sz val="11"/>
      <color theme="1"/>
      <name val="Calibri"/>
      <family val="2"/>
      <scheme val="minor"/>
    </font>
    <font>
      <b/>
      <sz val="24"/>
      <color theme="0"/>
      <name val="Calibri"/>
      <family val="2"/>
      <scheme val="minor"/>
    </font>
    <font>
      <b/>
      <sz val="24"/>
      <color theme="0"/>
      <name val="Arial Unicode MS"/>
    </font>
    <font>
      <b/>
      <sz val="28"/>
      <color rgb="FFFFFFFF"/>
      <name val="Calibri"/>
      <family val="2"/>
      <scheme val="minor"/>
    </font>
  </fonts>
  <fills count="9">
    <fill>
      <patternFill patternType="none"/>
    </fill>
    <fill>
      <patternFill patternType="gray125"/>
    </fill>
    <fill>
      <patternFill patternType="solid">
        <fgColor theme="6" tint="-0.249977111117893"/>
        <bgColor indexed="64"/>
      </patternFill>
    </fill>
    <fill>
      <patternFill patternType="solid">
        <fgColor theme="6" tint="-0.499984740745262"/>
        <bgColor indexed="64"/>
      </patternFill>
    </fill>
    <fill>
      <patternFill patternType="solid">
        <fgColor theme="0"/>
        <bgColor indexed="64"/>
      </patternFill>
    </fill>
    <fill>
      <patternFill patternType="solid">
        <fgColor rgb="FFC00000"/>
        <bgColor indexed="64"/>
      </patternFill>
    </fill>
    <fill>
      <patternFill patternType="solid">
        <fgColor rgb="FFC88800"/>
        <bgColor indexed="64"/>
      </patternFill>
    </fill>
    <fill>
      <patternFill patternType="solid">
        <fgColor rgb="FF005E00"/>
        <bgColor indexed="64"/>
      </patternFill>
    </fill>
    <fill>
      <patternFill patternType="solid">
        <fgColor rgb="FF0034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9" fontId="2" fillId="2" borderId="0" xfId="1" applyFont="1" applyFill="1" applyAlignment="1">
      <alignment horizontal="center"/>
    </xf>
    <xf numFmtId="0" fontId="0" fillId="4" borderId="0" xfId="0" applyFill="1"/>
    <xf numFmtId="167" fontId="2" fillId="5" borderId="0" xfId="0" applyNumberFormat="1" applyFont="1" applyFill="1" applyAlignment="1">
      <alignment horizontal="center"/>
    </xf>
    <xf numFmtId="167" fontId="3" fillId="6" borderId="0" xfId="0" applyNumberFormat="1" applyFont="1" applyFill="1" applyAlignment="1">
      <alignment horizontal="center"/>
    </xf>
    <xf numFmtId="167" fontId="2" fillId="7" borderId="0" xfId="0" applyNumberFormat="1" applyFont="1" applyFill="1" applyAlignment="1">
      <alignment horizontal="center"/>
    </xf>
    <xf numFmtId="0" fontId="2" fillId="8" borderId="0" xfId="0" applyFont="1" applyFill="1" applyAlignment="1">
      <alignment horizontal="center"/>
    </xf>
    <xf numFmtId="0" fontId="4" fillId="3" borderId="0" xfId="0" applyFont="1" applyFill="1" applyAlignment="1">
      <alignment horizontal="center"/>
    </xf>
  </cellXfs>
  <cellStyles count="2">
    <cellStyle name="Normal" xfId="0" builtinId="0"/>
    <cellStyle name="Percent" xfId="1" builtinId="5"/>
  </cellStyles>
  <dxfs count="5">
    <dxf>
      <numFmt numFmtId="0" formatCode="General"/>
    </dxf>
    <dxf>
      <numFmt numFmtId="0" formatCode="General"/>
    </dxf>
    <dxf>
      <numFmt numFmtId="0" formatCode="General"/>
    </dxf>
    <dxf>
      <numFmt numFmtId="0" formatCode="General"/>
    </dxf>
    <dxf>
      <numFmt numFmtId="164" formatCode="yyyy\-mm\-dd"/>
    </dxf>
  </dxfs>
  <tableStyles count="0" defaultTableStyle="TableStyleMedium9" defaultPivotStyle="PivotStyleLight16"/>
  <colors>
    <mruColors>
      <color rgb="FF808080"/>
      <color rgb="FF2E8B7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[Personal_Finance_Dashboard.xlsx]PivotTables!PivotTable3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Income Trend</a:t>
            </a:r>
            <a:endParaRPr lang="en-US" sz="1600" b="1"/>
          </a:p>
        </c:rich>
      </c:tx>
      <c:layout>
        <c:manualLayout>
          <c:xMode val="edge"/>
          <c:yMode val="edge"/>
          <c:x val="0.29145135350329937"/>
          <c:y val="7.3652304467295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E8B7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67743796413213"/>
          <c:y val="0.19450433042749649"/>
          <c:w val="0.65321346347391263"/>
          <c:h val="0.42216897091032163"/>
        </c:manualLayout>
      </c:layout>
      <c:lineChart>
        <c:grouping val="standard"/>
        <c:varyColors val="0"/>
        <c:ser>
          <c:idx val="0"/>
          <c:order val="0"/>
          <c:tx>
            <c:strRef>
              <c:f>PivotTables!$B$3</c:f>
              <c:strCache>
                <c:ptCount val="1"/>
                <c:pt idx="0">
                  <c:v>Total</c:v>
                </c:pt>
              </c:strCache>
            </c:strRef>
          </c:tx>
          <c:spPr>
            <a:ln w="28575" cap="rnd">
              <a:solidFill>
                <a:srgbClr val="2E8B7C"/>
              </a:solidFill>
              <a:round/>
            </a:ln>
            <a:effectLst/>
          </c:spPr>
          <c:marker>
            <c:symbol val="none"/>
          </c:marker>
          <c:cat>
            <c:strRef>
              <c:f>PivotTables!$A$4:$A$16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PivotTables!$B$4:$B$16</c:f>
              <c:numCache>
                <c:formatCode>General</c:formatCode>
                <c:ptCount val="12"/>
                <c:pt idx="0">
                  <c:v>1276185</c:v>
                </c:pt>
                <c:pt idx="1">
                  <c:v>674010</c:v>
                </c:pt>
                <c:pt idx="2">
                  <c:v>1056643</c:v>
                </c:pt>
                <c:pt idx="3">
                  <c:v>858903</c:v>
                </c:pt>
                <c:pt idx="4">
                  <c:v>884698</c:v>
                </c:pt>
                <c:pt idx="5">
                  <c:v>1310894</c:v>
                </c:pt>
                <c:pt idx="6">
                  <c:v>1175493</c:v>
                </c:pt>
                <c:pt idx="7">
                  <c:v>996860</c:v>
                </c:pt>
                <c:pt idx="8">
                  <c:v>887682</c:v>
                </c:pt>
                <c:pt idx="9">
                  <c:v>662427</c:v>
                </c:pt>
                <c:pt idx="10">
                  <c:v>1220418</c:v>
                </c:pt>
                <c:pt idx="11">
                  <c:v>835887</c:v>
                </c:pt>
              </c:numCache>
            </c:numRef>
          </c:val>
          <c:smooth val="0"/>
          <c:extLst>
            <c:ext xmlns:c16="http://schemas.microsoft.com/office/drawing/2014/chart" uri="{C3380CC4-5D6E-409C-BE32-E72D297353CC}">
              <c16:uniqueId val="{00000000-E32D-4C60-B264-ED8464E2F1D2}"/>
            </c:ext>
          </c:extLst>
        </c:ser>
        <c:dLbls>
          <c:showLegendKey val="0"/>
          <c:showVal val="0"/>
          <c:showCatName val="0"/>
          <c:showSerName val="0"/>
          <c:showPercent val="0"/>
          <c:showBubbleSize val="0"/>
        </c:dLbls>
        <c:smooth val="0"/>
        <c:axId val="794060576"/>
        <c:axId val="794034656"/>
      </c:lineChart>
      <c:catAx>
        <c:axId val="79406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34656"/>
        <c:crosses val="autoZero"/>
        <c:auto val="1"/>
        <c:lblAlgn val="ctr"/>
        <c:lblOffset val="100"/>
        <c:noMultiLvlLbl val="0"/>
      </c:catAx>
      <c:valAx>
        <c:axId val="79403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6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[Personal_Finance_Dashboard.xlsx]PivotTables!PivotTable4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Expenses Trend</a:t>
            </a:r>
            <a:endParaRPr lang="en-US" sz="1600" b="1"/>
          </a:p>
        </c:rich>
      </c:tx>
      <c:layout>
        <c:manualLayout>
          <c:xMode val="edge"/>
          <c:yMode val="edge"/>
          <c:x val="0.2796463620249881"/>
          <c:y val="4.79584426946631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00104892249635"/>
          <c:y val="0.22726414406532516"/>
          <c:w val="0.69711118360117541"/>
          <c:h val="0.43487569262175563"/>
        </c:manualLayout>
      </c:layout>
      <c:lineChart>
        <c:grouping val="standard"/>
        <c:varyColors val="0"/>
        <c:ser>
          <c:idx val="0"/>
          <c:order val="0"/>
          <c:tx>
            <c:strRef>
              <c:f>PivotTables!$B$20</c:f>
              <c:strCache>
                <c:ptCount val="1"/>
                <c:pt idx="0">
                  <c:v>Total</c:v>
                </c:pt>
              </c:strCache>
            </c:strRef>
          </c:tx>
          <c:spPr>
            <a:ln w="28575" cap="rnd">
              <a:solidFill>
                <a:schemeClr val="accent1"/>
              </a:solidFill>
              <a:round/>
            </a:ln>
            <a:effectLst/>
          </c:spPr>
          <c:marker>
            <c:symbol val="none"/>
          </c:marker>
          <c:cat>
            <c:strRef>
              <c:f>PivotTables!$A$21:$A$33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PivotTables!$B$21:$B$33</c:f>
              <c:numCache>
                <c:formatCode>General</c:formatCode>
                <c:ptCount val="12"/>
                <c:pt idx="0">
                  <c:v>518221</c:v>
                </c:pt>
                <c:pt idx="1">
                  <c:v>488127</c:v>
                </c:pt>
                <c:pt idx="2">
                  <c:v>418352</c:v>
                </c:pt>
                <c:pt idx="3">
                  <c:v>309105</c:v>
                </c:pt>
                <c:pt idx="4">
                  <c:v>443432</c:v>
                </c:pt>
                <c:pt idx="5">
                  <c:v>584916</c:v>
                </c:pt>
                <c:pt idx="6">
                  <c:v>352729</c:v>
                </c:pt>
                <c:pt idx="7">
                  <c:v>429172</c:v>
                </c:pt>
                <c:pt idx="8">
                  <c:v>620723</c:v>
                </c:pt>
                <c:pt idx="9">
                  <c:v>333418</c:v>
                </c:pt>
                <c:pt idx="10">
                  <c:v>466553</c:v>
                </c:pt>
                <c:pt idx="11">
                  <c:v>372443</c:v>
                </c:pt>
              </c:numCache>
            </c:numRef>
          </c:val>
          <c:smooth val="0"/>
          <c:extLst>
            <c:ext xmlns:c16="http://schemas.microsoft.com/office/drawing/2014/chart" uri="{C3380CC4-5D6E-409C-BE32-E72D297353CC}">
              <c16:uniqueId val="{00000000-09F7-4930-B9E7-A55D21CAC37F}"/>
            </c:ext>
          </c:extLst>
        </c:ser>
        <c:dLbls>
          <c:showLegendKey val="0"/>
          <c:showVal val="0"/>
          <c:showCatName val="0"/>
          <c:showSerName val="0"/>
          <c:showPercent val="0"/>
          <c:showBubbleSize val="0"/>
        </c:dLbls>
        <c:smooth val="0"/>
        <c:axId val="794044736"/>
        <c:axId val="794042336"/>
      </c:lineChart>
      <c:catAx>
        <c:axId val="79404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42336"/>
        <c:crosses val="autoZero"/>
        <c:auto val="1"/>
        <c:lblAlgn val="ctr"/>
        <c:lblOffset val="100"/>
        <c:noMultiLvlLbl val="0"/>
      </c:catAx>
      <c:valAx>
        <c:axId val="794042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4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[Personal_Finance_Dashboard.xlsx]PivotTables!PivotTable5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Expense</a:t>
            </a:r>
            <a:r>
              <a:rPr lang="en-US" sz="1600" b="1" baseline="0"/>
              <a:t> By Category</a:t>
            </a:r>
          </a:p>
          <a:p>
            <a:pPr>
              <a:defRPr/>
            </a:pPr>
            <a:endParaRPr lang="en-US"/>
          </a:p>
        </c:rich>
      </c:tx>
      <c:layout>
        <c:manualLayout>
          <c:xMode val="edge"/>
          <c:yMode val="edge"/>
          <c:x val="0.27688930593695132"/>
          <c:y val="3.51954636846136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manualLayout>
          <c:layoutTarget val="inner"/>
          <c:xMode val="edge"/>
          <c:yMode val="edge"/>
          <c:x val="0.17180939818603733"/>
          <c:y val="0.13213218608033553"/>
          <c:w val="0.44647496999631936"/>
          <c:h val="0.91425739630308733"/>
        </c:manualLayout>
      </c:layout>
      <c:doughnutChart>
        <c:varyColors val="1"/>
        <c:ser>
          <c:idx val="0"/>
          <c:order val="0"/>
          <c:tx>
            <c:strRef>
              <c:f>PivotTables!$B$36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21-44BA-BF37-5E73B30F16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21-44BA-BF37-5E73B30F16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21-44BA-BF37-5E73B30F16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21-44BA-BF37-5E73B30F16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21-44BA-BF37-5E73B30F167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B21-44BA-BF37-5E73B30F167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B21-44BA-BF37-5E73B30F167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B21-44BA-BF37-5E73B30F167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B21-44BA-BF37-5E73B30F167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B21-44BA-BF37-5E73B30F167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B21-44BA-BF37-5E73B30F167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B21-44BA-BF37-5E73B30F167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B21-44BA-BF37-5E73B30F167B}"/>
              </c:ext>
            </c:extLst>
          </c:dPt>
          <c:cat>
            <c:strRef>
              <c:f>PivotTables!$A$37:$A$50</c:f>
              <c:strCache>
                <c:ptCount val="13"/>
                <c:pt idx="0">
                  <c:v>Dining</c:v>
                </c:pt>
                <c:pt idx="1">
                  <c:v>Education</c:v>
                </c:pt>
                <c:pt idx="2">
                  <c:v>Entertainment</c:v>
                </c:pt>
                <c:pt idx="3">
                  <c:v>Gifts</c:v>
                </c:pt>
                <c:pt idx="4">
                  <c:v>Groceries</c:v>
                </c:pt>
                <c:pt idx="5">
                  <c:v>Healthcare</c:v>
                </c:pt>
                <c:pt idx="6">
                  <c:v>Insurance</c:v>
                </c:pt>
                <c:pt idx="7">
                  <c:v>Internet</c:v>
                </c:pt>
                <c:pt idx="8">
                  <c:v>Miscellaneous</c:v>
                </c:pt>
                <c:pt idx="9">
                  <c:v>Rent</c:v>
                </c:pt>
                <c:pt idx="10">
                  <c:v>Shopping</c:v>
                </c:pt>
                <c:pt idx="11">
                  <c:v>Transport</c:v>
                </c:pt>
                <c:pt idx="12">
                  <c:v>Utilities</c:v>
                </c:pt>
              </c:strCache>
            </c:strRef>
          </c:cat>
          <c:val>
            <c:numRef>
              <c:f>PivotTables!$B$37:$B$50</c:f>
              <c:numCache>
                <c:formatCode>General</c:formatCode>
                <c:ptCount val="13"/>
                <c:pt idx="0">
                  <c:v>145828</c:v>
                </c:pt>
                <c:pt idx="1">
                  <c:v>417849</c:v>
                </c:pt>
                <c:pt idx="2">
                  <c:v>137469</c:v>
                </c:pt>
                <c:pt idx="3">
                  <c:v>203518</c:v>
                </c:pt>
                <c:pt idx="4">
                  <c:v>209726</c:v>
                </c:pt>
                <c:pt idx="5">
                  <c:v>159786</c:v>
                </c:pt>
                <c:pt idx="6">
                  <c:v>364439</c:v>
                </c:pt>
                <c:pt idx="7">
                  <c:v>127890</c:v>
                </c:pt>
                <c:pt idx="8">
                  <c:v>100267</c:v>
                </c:pt>
                <c:pt idx="9">
                  <c:v>2915193</c:v>
                </c:pt>
                <c:pt idx="10">
                  <c:v>353804</c:v>
                </c:pt>
                <c:pt idx="11">
                  <c:v>44794</c:v>
                </c:pt>
                <c:pt idx="12">
                  <c:v>156628</c:v>
                </c:pt>
              </c:numCache>
            </c:numRef>
          </c:val>
          <c:extLst>
            <c:ext xmlns:c16="http://schemas.microsoft.com/office/drawing/2014/chart" uri="{C3380CC4-5D6E-409C-BE32-E72D297353CC}">
              <c16:uniqueId val="{0000001A-BB21-44BA-BF37-5E73B30F16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370193545047193"/>
          <c:y val="0.18751823422299577"/>
          <c:w val="0.32731022027531204"/>
          <c:h val="0.727113984193892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[Personal_Finance_Dashboard.xlsx]PivotTables!PivotTable6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lncome By Source</a:t>
            </a:r>
          </a:p>
        </c:rich>
      </c:tx>
      <c:layout>
        <c:manualLayout>
          <c:xMode val="edge"/>
          <c:yMode val="edge"/>
          <c:x val="0.31505710339310272"/>
          <c:y val="6.74030329542140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727982780553"/>
          <c:y val="0.18096784776902888"/>
          <c:w val="0.72360259025340523"/>
          <c:h val="0.43487569262175563"/>
        </c:manualLayout>
      </c:layout>
      <c:barChart>
        <c:barDir val="col"/>
        <c:grouping val="clustered"/>
        <c:varyColors val="0"/>
        <c:ser>
          <c:idx val="0"/>
          <c:order val="0"/>
          <c:tx>
            <c:strRef>
              <c:f>PivotTables!$B$54</c:f>
              <c:strCache>
                <c:ptCount val="1"/>
                <c:pt idx="0">
                  <c:v>Total</c:v>
                </c:pt>
              </c:strCache>
            </c:strRef>
          </c:tx>
          <c:spPr>
            <a:solidFill>
              <a:schemeClr val="accent1"/>
            </a:solidFill>
            <a:ln>
              <a:noFill/>
            </a:ln>
            <a:effectLst/>
          </c:spPr>
          <c:invertIfNegative val="0"/>
          <c:cat>
            <c:strRef>
              <c:f>PivotTables!$A$55:$A$60</c:f>
              <c:strCache>
                <c:ptCount val="5"/>
                <c:pt idx="0">
                  <c:v>Bonus</c:v>
                </c:pt>
                <c:pt idx="1">
                  <c:v>Business</c:v>
                </c:pt>
                <c:pt idx="2">
                  <c:v>Freelance</c:v>
                </c:pt>
                <c:pt idx="3">
                  <c:v>Investment</c:v>
                </c:pt>
                <c:pt idx="4">
                  <c:v>Salary</c:v>
                </c:pt>
              </c:strCache>
            </c:strRef>
          </c:cat>
          <c:val>
            <c:numRef>
              <c:f>PivotTables!$B$55:$B$60</c:f>
              <c:numCache>
                <c:formatCode>General</c:formatCode>
                <c:ptCount val="5"/>
                <c:pt idx="0">
                  <c:v>2140755</c:v>
                </c:pt>
                <c:pt idx="1">
                  <c:v>1387603</c:v>
                </c:pt>
                <c:pt idx="2">
                  <c:v>1724388</c:v>
                </c:pt>
                <c:pt idx="3">
                  <c:v>1187354</c:v>
                </c:pt>
                <c:pt idx="4">
                  <c:v>5400000</c:v>
                </c:pt>
              </c:numCache>
            </c:numRef>
          </c:val>
          <c:extLst>
            <c:ext xmlns:c16="http://schemas.microsoft.com/office/drawing/2014/chart" uri="{C3380CC4-5D6E-409C-BE32-E72D297353CC}">
              <c16:uniqueId val="{00000000-2D8E-41AD-B2B3-2B25C3FF57B8}"/>
            </c:ext>
          </c:extLst>
        </c:ser>
        <c:dLbls>
          <c:showLegendKey val="0"/>
          <c:showVal val="0"/>
          <c:showCatName val="0"/>
          <c:showSerName val="0"/>
          <c:showPercent val="0"/>
          <c:showBubbleSize val="0"/>
        </c:dLbls>
        <c:gapWidth val="219"/>
        <c:overlap val="-27"/>
        <c:axId val="794025056"/>
        <c:axId val="794013056"/>
      </c:barChart>
      <c:catAx>
        <c:axId val="79402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13056"/>
        <c:crosses val="autoZero"/>
        <c:auto val="1"/>
        <c:lblAlgn val="ctr"/>
        <c:lblOffset val="100"/>
        <c:noMultiLvlLbl val="0"/>
      </c:catAx>
      <c:valAx>
        <c:axId val="794013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2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[Personal_Finance_Dashboard.xlsx]PivotTables!PivotTable7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Payment</a:t>
            </a:r>
            <a:r>
              <a:rPr lang="en-US" sz="1600" b="1" baseline="0"/>
              <a:t> Method</a:t>
            </a:r>
            <a:endParaRPr lang="en-US" sz="1600" b="1"/>
          </a:p>
        </c:rich>
      </c:tx>
      <c:layout>
        <c:manualLayout>
          <c:xMode val="edge"/>
          <c:yMode val="edge"/>
          <c:x val="0.31927094678745627"/>
          <c:y val="6.74030329542140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5600747033999272"/>
          <c:y val="0.21337525517643627"/>
          <c:w val="0.36322029621051966"/>
          <c:h val="0.58292104111985998"/>
        </c:manualLayout>
      </c:layout>
      <c:pieChart>
        <c:varyColors val="1"/>
        <c:ser>
          <c:idx val="0"/>
          <c:order val="0"/>
          <c:tx>
            <c:strRef>
              <c:f>PivotTables!$G$16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00-4EEA-AA06-605147DA7E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00-4EEA-AA06-605147DA7E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00-4EEA-AA06-605147DA7E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00-4EEA-AA06-605147DA7ED0}"/>
              </c:ext>
            </c:extLst>
          </c:dPt>
          <c:cat>
            <c:strRef>
              <c:f>PivotTables!$F$17:$F$21</c:f>
              <c:strCache>
                <c:ptCount val="4"/>
                <c:pt idx="0">
                  <c:v>Card</c:v>
                </c:pt>
                <c:pt idx="1">
                  <c:v>Cash</c:v>
                </c:pt>
                <c:pt idx="2">
                  <c:v>Mobile Money</c:v>
                </c:pt>
                <c:pt idx="3">
                  <c:v>Transfer</c:v>
                </c:pt>
              </c:strCache>
            </c:strRef>
          </c:cat>
          <c:val>
            <c:numRef>
              <c:f>PivotTables!$G$17:$G$21</c:f>
              <c:numCache>
                <c:formatCode>General</c:formatCode>
                <c:ptCount val="4"/>
                <c:pt idx="0">
                  <c:v>1505495</c:v>
                </c:pt>
                <c:pt idx="1">
                  <c:v>1128270</c:v>
                </c:pt>
                <c:pt idx="2">
                  <c:v>1535930</c:v>
                </c:pt>
                <c:pt idx="3">
                  <c:v>1167496</c:v>
                </c:pt>
              </c:numCache>
            </c:numRef>
          </c:val>
          <c:extLst>
            <c:ext xmlns:c16="http://schemas.microsoft.com/office/drawing/2014/chart" uri="{C3380CC4-5D6E-409C-BE32-E72D297353CC}">
              <c16:uniqueId val="{00000008-2C00-4EEA-AA06-605147DA7ED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027149443074062"/>
          <c:y val="0.21902559057940879"/>
          <c:w val="0.26953457466664676"/>
          <c:h val="0.53587977746989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[Personal_Finance_Dashboard.xlsx]PivotTables!PivotTable10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Weekday</a:t>
            </a:r>
            <a:r>
              <a:rPr lang="en-US" sz="1600" b="1" baseline="0"/>
              <a:t> vs Weekend</a:t>
            </a:r>
            <a:endParaRPr lang="en-US" sz="1600" b="1"/>
          </a:p>
        </c:rich>
      </c:tx>
      <c:layout>
        <c:manualLayout>
          <c:xMode val="edge"/>
          <c:yMode val="edge"/>
          <c:x val="0.38299213656282299"/>
          <c:y val="4.95930226620505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PivotTables!$J$27</c:f>
              <c:strCache>
                <c:ptCount val="1"/>
                <c:pt idx="0">
                  <c:v>Total</c:v>
                </c:pt>
              </c:strCache>
            </c:strRef>
          </c:tx>
          <c:spPr>
            <a:solidFill>
              <a:schemeClr val="accent1"/>
            </a:solidFill>
            <a:ln>
              <a:noFill/>
            </a:ln>
            <a:effectLst/>
          </c:spPr>
          <c:invertIfNegative val="0"/>
          <c:cat>
            <c:strRef>
              <c:f>PivotTables!$I$28:$I$30</c:f>
              <c:strCache>
                <c:ptCount val="2"/>
                <c:pt idx="0">
                  <c:v>Weekday</c:v>
                </c:pt>
                <c:pt idx="1">
                  <c:v>Weekend</c:v>
                </c:pt>
              </c:strCache>
            </c:strRef>
          </c:cat>
          <c:val>
            <c:numRef>
              <c:f>PivotTables!$J$28:$J$30</c:f>
              <c:numCache>
                <c:formatCode>General</c:formatCode>
                <c:ptCount val="2"/>
                <c:pt idx="0">
                  <c:v>3935934</c:v>
                </c:pt>
                <c:pt idx="1">
                  <c:v>1401257</c:v>
                </c:pt>
              </c:numCache>
            </c:numRef>
          </c:val>
          <c:extLst>
            <c:ext xmlns:c16="http://schemas.microsoft.com/office/drawing/2014/chart" uri="{C3380CC4-5D6E-409C-BE32-E72D297353CC}">
              <c16:uniqueId val="{00000000-6E02-49B3-90AC-AE102DF0D35B}"/>
            </c:ext>
          </c:extLst>
        </c:ser>
        <c:dLbls>
          <c:showLegendKey val="0"/>
          <c:showVal val="0"/>
          <c:showCatName val="0"/>
          <c:showSerName val="0"/>
          <c:showPercent val="0"/>
          <c:showBubbleSize val="0"/>
        </c:dLbls>
        <c:gapWidth val="219"/>
        <c:overlap val="-27"/>
        <c:axId val="794050976"/>
        <c:axId val="794051936"/>
      </c:barChart>
      <c:catAx>
        <c:axId val="79405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51936"/>
        <c:crosses val="autoZero"/>
        <c:auto val="1"/>
        <c:lblAlgn val="ctr"/>
        <c:lblOffset val="100"/>
        <c:noMultiLvlLbl val="0"/>
      </c:catAx>
      <c:valAx>
        <c:axId val="794051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[Personal_Finance_Dashboard.xlsx]PivotTables!PivotTable8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Largest Expenses</a:t>
            </a:r>
            <a:endParaRPr lang="en-US" sz="1600" b="1"/>
          </a:p>
        </c:rich>
      </c:tx>
      <c:layout>
        <c:manualLayout>
          <c:xMode val="edge"/>
          <c:yMode val="edge"/>
          <c:x val="0.29199504393383491"/>
          <c:y val="4.4254884806065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761241359504289"/>
          <c:y val="0.1994863662875474"/>
          <c:w val="0.41568207215845249"/>
          <c:h val="0.52644757946923304"/>
        </c:manualLayout>
      </c:layout>
      <c:barChart>
        <c:barDir val="bar"/>
        <c:grouping val="clustered"/>
        <c:varyColors val="0"/>
        <c:ser>
          <c:idx val="0"/>
          <c:order val="0"/>
          <c:tx>
            <c:strRef>
              <c:f>PivotTables!$J$7</c:f>
              <c:strCache>
                <c:ptCount val="1"/>
                <c:pt idx="0">
                  <c:v>Total</c:v>
                </c:pt>
              </c:strCache>
            </c:strRef>
          </c:tx>
          <c:spPr>
            <a:solidFill>
              <a:schemeClr val="accent1"/>
            </a:solidFill>
            <a:ln>
              <a:noFill/>
            </a:ln>
            <a:effectLst/>
          </c:spPr>
          <c:invertIfNegative val="0"/>
          <c:cat>
            <c:strRef>
              <c:f>PivotTables!$I$8:$I$18</c:f>
              <c:strCache>
                <c:ptCount val="10"/>
                <c:pt idx="0">
                  <c:v>Dining</c:v>
                </c:pt>
                <c:pt idx="1">
                  <c:v>Education</c:v>
                </c:pt>
                <c:pt idx="2">
                  <c:v>Entertainment</c:v>
                </c:pt>
                <c:pt idx="3">
                  <c:v>Gifts</c:v>
                </c:pt>
                <c:pt idx="4">
                  <c:v>Groceries</c:v>
                </c:pt>
                <c:pt idx="5">
                  <c:v>Healthcare</c:v>
                </c:pt>
                <c:pt idx="6">
                  <c:v>Insurance</c:v>
                </c:pt>
                <c:pt idx="7">
                  <c:v>Rent</c:v>
                </c:pt>
                <c:pt idx="8">
                  <c:v>Shopping</c:v>
                </c:pt>
                <c:pt idx="9">
                  <c:v>Utilities</c:v>
                </c:pt>
              </c:strCache>
            </c:strRef>
          </c:cat>
          <c:val>
            <c:numRef>
              <c:f>PivotTables!$J$8:$J$18</c:f>
              <c:numCache>
                <c:formatCode>General</c:formatCode>
                <c:ptCount val="10"/>
                <c:pt idx="0">
                  <c:v>145828</c:v>
                </c:pt>
                <c:pt idx="1">
                  <c:v>417849</c:v>
                </c:pt>
                <c:pt idx="2">
                  <c:v>137469</c:v>
                </c:pt>
                <c:pt idx="3">
                  <c:v>203518</c:v>
                </c:pt>
                <c:pt idx="4">
                  <c:v>209726</c:v>
                </c:pt>
                <c:pt idx="5">
                  <c:v>159786</c:v>
                </c:pt>
                <c:pt idx="6">
                  <c:v>364439</c:v>
                </c:pt>
                <c:pt idx="7">
                  <c:v>2915193</c:v>
                </c:pt>
                <c:pt idx="8">
                  <c:v>353804</c:v>
                </c:pt>
                <c:pt idx="9">
                  <c:v>156628</c:v>
                </c:pt>
              </c:numCache>
            </c:numRef>
          </c:val>
          <c:extLst>
            <c:ext xmlns:c16="http://schemas.microsoft.com/office/drawing/2014/chart" uri="{C3380CC4-5D6E-409C-BE32-E72D297353CC}">
              <c16:uniqueId val="{00000000-891E-4681-AC97-2EE54541A4F0}"/>
            </c:ext>
          </c:extLst>
        </c:ser>
        <c:dLbls>
          <c:showLegendKey val="0"/>
          <c:showVal val="0"/>
          <c:showCatName val="0"/>
          <c:showSerName val="0"/>
          <c:showPercent val="0"/>
          <c:showBubbleSize val="0"/>
        </c:dLbls>
        <c:gapWidth val="182"/>
        <c:axId val="958265712"/>
        <c:axId val="958266192"/>
      </c:barChart>
      <c:catAx>
        <c:axId val="95826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66192"/>
        <c:crosses val="autoZero"/>
        <c:auto val="1"/>
        <c:lblAlgn val="ctr"/>
        <c:lblOffset val="100"/>
        <c:noMultiLvlLbl val="0"/>
      </c:catAx>
      <c:valAx>
        <c:axId val="95826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6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5</xdr:row>
      <xdr:rowOff>0</xdr:rowOff>
    </xdr:from>
    <xdr:to>
      <xdr:col>2</xdr:col>
      <xdr:colOff>2204357</xdr:colOff>
      <xdr:row>14</xdr:row>
      <xdr:rowOff>137583</xdr:rowOff>
    </xdr:to>
    <xdr:graphicFrame macro="">
      <xdr:nvGraphicFramePr>
        <xdr:cNvPr id="2" name="Chart 1">
          <a:extLst>
            <a:ext uri="{FF2B5EF4-FFF2-40B4-BE49-F238E27FC236}">
              <a16:creationId xmlns:a16="http://schemas.microsoft.com/office/drawing/2014/main" id="{CBCB196C-4D7B-42AF-86B4-20C046518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xdr:colOff>
      <xdr:row>5</xdr:row>
      <xdr:rowOff>0</xdr:rowOff>
    </xdr:from>
    <xdr:to>
      <xdr:col>5</xdr:col>
      <xdr:colOff>40822</xdr:colOff>
      <xdr:row>14</xdr:row>
      <xdr:rowOff>169333</xdr:rowOff>
    </xdr:to>
    <xdr:graphicFrame macro="">
      <xdr:nvGraphicFramePr>
        <xdr:cNvPr id="3" name="Chart 2">
          <a:extLst>
            <a:ext uri="{FF2B5EF4-FFF2-40B4-BE49-F238E27FC236}">
              <a16:creationId xmlns:a16="http://schemas.microsoft.com/office/drawing/2014/main" id="{3F57B205-969D-49F8-A5F4-37FE0753B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582083</xdr:colOff>
      <xdr:row>15</xdr:row>
      <xdr:rowOff>19844</xdr:rowOff>
    </xdr:from>
    <xdr:to>
      <xdr:col>2</xdr:col>
      <xdr:colOff>2217964</xdr:colOff>
      <xdr:row>29</xdr:row>
      <xdr:rowOff>136072</xdr:rowOff>
    </xdr:to>
    <xdr:graphicFrame macro="">
      <xdr:nvGraphicFramePr>
        <xdr:cNvPr id="4" name="Chart 3">
          <a:extLst>
            <a:ext uri="{FF2B5EF4-FFF2-40B4-BE49-F238E27FC236}">
              <a16:creationId xmlns:a16="http://schemas.microsoft.com/office/drawing/2014/main" id="{B48020CC-F86F-45AE-B7FE-0F9FAE0AA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40822</xdr:colOff>
      <xdr:row>15</xdr:row>
      <xdr:rowOff>25135</xdr:rowOff>
    </xdr:from>
    <xdr:to>
      <xdr:col>5</xdr:col>
      <xdr:colOff>54429</xdr:colOff>
      <xdr:row>29</xdr:row>
      <xdr:rowOff>108857</xdr:rowOff>
    </xdr:to>
    <xdr:graphicFrame macro="">
      <xdr:nvGraphicFramePr>
        <xdr:cNvPr id="5" name="Chart 4">
          <a:extLst>
            <a:ext uri="{FF2B5EF4-FFF2-40B4-BE49-F238E27FC236}">
              <a16:creationId xmlns:a16="http://schemas.microsoft.com/office/drawing/2014/main" id="{11A1562A-CBDE-4334-815E-05B0DB2D7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592665</xdr:colOff>
      <xdr:row>30</xdr:row>
      <xdr:rowOff>1</xdr:rowOff>
    </xdr:from>
    <xdr:to>
      <xdr:col>2</xdr:col>
      <xdr:colOff>2231570</xdr:colOff>
      <xdr:row>44</xdr:row>
      <xdr:rowOff>122465</xdr:rowOff>
    </xdr:to>
    <xdr:graphicFrame macro="">
      <xdr:nvGraphicFramePr>
        <xdr:cNvPr id="6" name="Chart 5">
          <a:extLst>
            <a:ext uri="{FF2B5EF4-FFF2-40B4-BE49-F238E27FC236}">
              <a16:creationId xmlns:a16="http://schemas.microsoft.com/office/drawing/2014/main" id="{1AFA4164-51B5-46D5-B1A8-7BD98A3B9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37041</xdr:colOff>
      <xdr:row>44</xdr:row>
      <xdr:rowOff>157806</xdr:rowOff>
    </xdr:from>
    <xdr:to>
      <xdr:col>5</xdr:col>
      <xdr:colOff>42446</xdr:colOff>
      <xdr:row>57</xdr:row>
      <xdr:rowOff>129231</xdr:rowOff>
    </xdr:to>
    <xdr:graphicFrame macro="">
      <xdr:nvGraphicFramePr>
        <xdr:cNvPr id="8" name="Chart 7">
          <a:extLst>
            <a:ext uri="{FF2B5EF4-FFF2-40B4-BE49-F238E27FC236}">
              <a16:creationId xmlns:a16="http://schemas.microsoft.com/office/drawing/2014/main" id="{B5639CA7-B1BA-4D1D-9556-9AC6A38E7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27215</xdr:colOff>
      <xdr:row>29</xdr:row>
      <xdr:rowOff>163287</xdr:rowOff>
    </xdr:from>
    <xdr:to>
      <xdr:col>5</xdr:col>
      <xdr:colOff>39687</xdr:colOff>
      <xdr:row>44</xdr:row>
      <xdr:rowOff>95251</xdr:rowOff>
    </xdr:to>
    <xdr:graphicFrame macro="">
      <xdr:nvGraphicFramePr>
        <xdr:cNvPr id="9" name="Chart 8">
          <a:extLst>
            <a:ext uri="{FF2B5EF4-FFF2-40B4-BE49-F238E27FC236}">
              <a16:creationId xmlns:a16="http://schemas.microsoft.com/office/drawing/2014/main" id="{CCAC3341-DF26-4431-9CC7-1EAB40E3A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192315</xdr:colOff>
      <xdr:row>11</xdr:row>
      <xdr:rowOff>51027</xdr:rowOff>
    </xdr:from>
    <xdr:to>
      <xdr:col>1</xdr:col>
      <xdr:colOff>736486</xdr:colOff>
      <xdr:row>17</xdr:row>
      <xdr:rowOff>176892</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E3A77077-EC2B-37A1-F0B6-49991B5DA15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2315" y="2834444"/>
              <a:ext cx="1158004" cy="1268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122465</xdr:colOff>
      <xdr:row>19</xdr:row>
      <xdr:rowOff>40821</xdr:rowOff>
    </xdr:from>
    <xdr:to>
      <xdr:col>1</xdr:col>
      <xdr:colOff>721179</xdr:colOff>
      <xdr:row>25</xdr:row>
      <xdr:rowOff>13607</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5E90F9D6-9DB7-309B-3AA3-1A1881152E1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465" y="4348238"/>
              <a:ext cx="1212547" cy="1115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120197</xdr:colOff>
      <xdr:row>27</xdr:row>
      <xdr:rowOff>157618</xdr:rowOff>
    </xdr:from>
    <xdr:to>
      <xdr:col>1</xdr:col>
      <xdr:colOff>1006929</xdr:colOff>
      <xdr:row>35</xdr:row>
      <xdr:rowOff>136072</xdr:rowOff>
    </xdr:to>
    <mc:AlternateContent xmlns:mc="http://schemas.openxmlformats.org/markup-compatibility/2006" xmlns:a14="http://schemas.microsoft.com/office/drawing/2010/main">
      <mc:Choice Requires="a14">
        <xdr:graphicFrame macro="">
          <xdr:nvGraphicFramePr>
            <xdr:cNvPr id="14" name="Expense Category">
              <a:extLst>
                <a:ext uri="{FF2B5EF4-FFF2-40B4-BE49-F238E27FC236}">
                  <a16:creationId xmlns:a16="http://schemas.microsoft.com/office/drawing/2014/main" id="{D6F3B8A3-A2B4-4148-B6AA-329D3A7269AB}"/>
                </a:ext>
              </a:extLst>
            </xdr:cNvPr>
            <xdr:cNvGraphicFramePr/>
          </xdr:nvGraphicFramePr>
          <xdr:xfrm>
            <a:off x="0" y="0"/>
            <a:ext cx="0" cy="0"/>
          </xdr:xfrm>
          <a:graphic>
            <a:graphicData uri="http://schemas.microsoft.com/office/drawing/2010/slicer">
              <sle:slicer xmlns:sle="http://schemas.microsoft.com/office/drawing/2010/slicer" name="Expense Category"/>
            </a:graphicData>
          </a:graphic>
        </xdr:graphicFrame>
      </mc:Choice>
      <mc:Fallback xmlns="">
        <xdr:sp macro="" textlink="">
          <xdr:nvSpPr>
            <xdr:cNvPr id="0" name=""/>
            <xdr:cNvSpPr>
              <a:spLocks noTextEdit="1"/>
            </xdr:cNvSpPr>
          </xdr:nvSpPr>
          <xdr:spPr>
            <a:xfrm>
              <a:off x="120197" y="5989035"/>
              <a:ext cx="1500565" cy="1502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3.587735185189" createdVersion="8" refreshedVersion="8" minRefreshableVersion="3" recordCount="436" xr:uid="{03F9F8CC-CA68-4EBD-8124-4C1B99F7F005}">
  <cacheSource type="worksheet">
    <worksheetSource name="FinanceData"/>
  </cacheSource>
  <cacheFields count="12">
    <cacheField name="Date" numFmtId="164">
      <sharedItems containsSemiMixedTypes="0" containsNonDate="0" containsDate="1" containsString="0" minDate="2025-01-01T00:00:00" maxDate="2026-01-01T00:00:00"/>
    </cacheField>
    <cacheField name="Month" numFmtId="0">
      <sharedItems count="12">
        <s v="Jan"/>
        <s v="Feb"/>
        <s v="Mar"/>
        <s v="Apr"/>
        <s v="May"/>
        <s v="Jun"/>
        <s v="Jul"/>
        <s v="Aug"/>
        <s v="Sep"/>
        <s v="Oct"/>
        <s v="Nov"/>
        <s v="Dec"/>
      </sharedItems>
    </cacheField>
    <cacheField name="Income Source" numFmtId="0">
      <sharedItems containsBlank="1" count="6">
        <s v="Salary"/>
        <m/>
        <s v="Bonus"/>
        <s v="Investment"/>
        <s v="Business"/>
        <s v="Freelance"/>
      </sharedItems>
    </cacheField>
    <cacheField name="Expense Category" numFmtId="0">
      <sharedItems containsBlank="1" count="14">
        <m/>
        <s v="Utilities"/>
        <s v="Miscellaneous"/>
        <s v="Groceries"/>
        <s v="Healthcare"/>
        <s v="Dining"/>
        <s v="Rent"/>
        <s v="Entertainment"/>
        <s v="Education"/>
        <s v="Insurance"/>
        <s v="Gifts"/>
        <s v="Internet"/>
        <s v="Transport"/>
        <s v="Shopping"/>
      </sharedItems>
    </cacheField>
    <cacheField name="Description" numFmtId="0">
      <sharedItems count="18">
        <s v="Monthly Salary"/>
        <s v="Utilities"/>
        <s v="Miscellaneous"/>
        <s v="Groceries"/>
        <s v="Healthcare"/>
        <s v="Bonus"/>
        <s v="Dining"/>
        <s v="Rent"/>
        <s v="Investment"/>
        <s v="Entertainment"/>
        <s v="Education"/>
        <s v="Insurance"/>
        <s v="Business"/>
        <s v="Gifts"/>
        <s v="Internet"/>
        <s v="Freelance"/>
        <s v="Transport"/>
        <s v="Shopping"/>
      </sharedItems>
    </cacheField>
    <cacheField name="Type" numFmtId="0">
      <sharedItems count="2">
        <s v="Income"/>
        <s v="Expense"/>
      </sharedItems>
    </cacheField>
    <cacheField name="Amount (₦)" numFmtId="0">
      <sharedItems containsSemiMixedTypes="0" containsString="0" containsNumber="1" containsInteger="1" minValue="1073" maxValue="450000"/>
    </cacheField>
    <cacheField name="Payment Method" numFmtId="0">
      <sharedItems count="4">
        <s v="Transfer"/>
        <s v="Card"/>
        <s v="Mobile Money"/>
        <s v="Cash"/>
      </sharedItems>
    </cacheField>
    <cacheField name="Day" numFmtId="0">
      <sharedItems count="7">
        <s v="Wednesday"/>
        <s v="Thursday"/>
        <s v="Friday"/>
        <s v="Saturday"/>
        <s v="Sunday"/>
        <s v="Monday"/>
        <s v="Tuesday"/>
      </sharedItems>
    </cacheField>
    <cacheField name="Day Type" numFmtId="0">
      <sharedItems count="2">
        <s v="Weekday"/>
        <s v="Weekend"/>
      </sharedItems>
    </cacheField>
    <cacheField name="Year" numFmtId="0">
      <sharedItems containsSemiMixedTypes="0" containsString="0" containsNumber="1" containsInteger="1" minValue="2025" maxValue="2025"/>
    </cacheField>
    <cacheField name="Savings" numFmtId="0">
      <sharedItems containsNonDate="0" containsString="0" containsBlank="1"/>
    </cacheField>
  </cacheFields>
  <extLst>
    <ext xmlns:x14="http://schemas.microsoft.com/office/spreadsheetml/2009/9/main" uri="{725AE2AE-9491-48be-B2B4-4EB974FC3084}">
      <x14:pivotCacheDefinition pivotCacheId="1871380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6">
  <r>
    <d v="2025-01-01T00:00:00"/>
    <x v="0"/>
    <x v="0"/>
    <x v="0"/>
    <x v="0"/>
    <x v="0"/>
    <n v="450000"/>
    <x v="0"/>
    <x v="0"/>
    <x v="0"/>
    <n v="2025"/>
    <m/>
  </r>
  <r>
    <d v="2025-01-01T00:00:00"/>
    <x v="0"/>
    <x v="1"/>
    <x v="1"/>
    <x v="1"/>
    <x v="1"/>
    <n v="3196"/>
    <x v="1"/>
    <x v="0"/>
    <x v="0"/>
    <n v="2025"/>
    <m/>
  </r>
  <r>
    <d v="2025-01-02T00:00:00"/>
    <x v="0"/>
    <x v="1"/>
    <x v="2"/>
    <x v="2"/>
    <x v="1"/>
    <n v="4861"/>
    <x v="1"/>
    <x v="1"/>
    <x v="0"/>
    <n v="2025"/>
    <m/>
  </r>
  <r>
    <d v="2025-01-03T00:00:00"/>
    <x v="0"/>
    <x v="1"/>
    <x v="3"/>
    <x v="3"/>
    <x v="1"/>
    <n v="3428"/>
    <x v="1"/>
    <x v="2"/>
    <x v="0"/>
    <n v="2025"/>
    <m/>
  </r>
  <r>
    <d v="2025-01-04T00:00:00"/>
    <x v="0"/>
    <x v="1"/>
    <x v="4"/>
    <x v="4"/>
    <x v="1"/>
    <n v="8874"/>
    <x v="2"/>
    <x v="3"/>
    <x v="1"/>
    <n v="2025"/>
    <m/>
  </r>
  <r>
    <d v="2025-01-05T00:00:00"/>
    <x v="0"/>
    <x v="1"/>
    <x v="1"/>
    <x v="1"/>
    <x v="1"/>
    <n v="5666"/>
    <x v="1"/>
    <x v="4"/>
    <x v="1"/>
    <n v="2025"/>
    <m/>
  </r>
  <r>
    <d v="2025-01-06T00:00:00"/>
    <x v="0"/>
    <x v="2"/>
    <x v="0"/>
    <x v="5"/>
    <x v="0"/>
    <n v="167643"/>
    <x v="0"/>
    <x v="5"/>
    <x v="0"/>
    <n v="2025"/>
    <m/>
  </r>
  <r>
    <d v="2025-01-06T00:00:00"/>
    <x v="0"/>
    <x v="1"/>
    <x v="5"/>
    <x v="6"/>
    <x v="1"/>
    <n v="8395"/>
    <x v="2"/>
    <x v="5"/>
    <x v="0"/>
    <n v="2025"/>
    <m/>
  </r>
  <r>
    <d v="2025-01-07T00:00:00"/>
    <x v="0"/>
    <x v="1"/>
    <x v="6"/>
    <x v="7"/>
    <x v="1"/>
    <n v="60756"/>
    <x v="2"/>
    <x v="6"/>
    <x v="0"/>
    <n v="2025"/>
    <m/>
  </r>
  <r>
    <d v="2025-01-08T00:00:00"/>
    <x v="0"/>
    <x v="3"/>
    <x v="0"/>
    <x v="8"/>
    <x v="0"/>
    <n v="116449"/>
    <x v="0"/>
    <x v="0"/>
    <x v="0"/>
    <n v="2025"/>
    <m/>
  </r>
  <r>
    <d v="2025-01-08T00:00:00"/>
    <x v="0"/>
    <x v="1"/>
    <x v="4"/>
    <x v="4"/>
    <x v="1"/>
    <n v="5158"/>
    <x v="0"/>
    <x v="0"/>
    <x v="0"/>
    <n v="2025"/>
    <m/>
  </r>
  <r>
    <d v="2025-01-09T00:00:00"/>
    <x v="0"/>
    <x v="1"/>
    <x v="6"/>
    <x v="7"/>
    <x v="1"/>
    <n v="78644"/>
    <x v="1"/>
    <x v="1"/>
    <x v="0"/>
    <n v="2025"/>
    <m/>
  </r>
  <r>
    <d v="2025-01-10T00:00:00"/>
    <x v="0"/>
    <x v="2"/>
    <x v="0"/>
    <x v="5"/>
    <x v="0"/>
    <n v="95465"/>
    <x v="0"/>
    <x v="2"/>
    <x v="0"/>
    <n v="2025"/>
    <m/>
  </r>
  <r>
    <d v="2025-01-10T00:00:00"/>
    <x v="0"/>
    <x v="1"/>
    <x v="6"/>
    <x v="7"/>
    <x v="1"/>
    <n v="67445"/>
    <x v="3"/>
    <x v="2"/>
    <x v="0"/>
    <n v="2025"/>
    <m/>
  </r>
  <r>
    <d v="2025-01-11T00:00:00"/>
    <x v="0"/>
    <x v="1"/>
    <x v="7"/>
    <x v="9"/>
    <x v="1"/>
    <n v="6497"/>
    <x v="0"/>
    <x v="3"/>
    <x v="1"/>
    <n v="2025"/>
    <m/>
  </r>
  <r>
    <d v="2025-01-12T00:00:00"/>
    <x v="0"/>
    <x v="1"/>
    <x v="8"/>
    <x v="10"/>
    <x v="1"/>
    <n v="14458"/>
    <x v="3"/>
    <x v="4"/>
    <x v="1"/>
    <n v="2025"/>
    <m/>
  </r>
  <r>
    <d v="2025-01-13T00:00:00"/>
    <x v="0"/>
    <x v="1"/>
    <x v="2"/>
    <x v="2"/>
    <x v="1"/>
    <n v="3600"/>
    <x v="3"/>
    <x v="5"/>
    <x v="0"/>
    <n v="2025"/>
    <m/>
  </r>
  <r>
    <d v="2025-01-14T00:00:00"/>
    <x v="0"/>
    <x v="1"/>
    <x v="4"/>
    <x v="4"/>
    <x v="1"/>
    <n v="4997"/>
    <x v="0"/>
    <x v="6"/>
    <x v="0"/>
    <n v="2025"/>
    <m/>
  </r>
  <r>
    <d v="2025-01-15T00:00:00"/>
    <x v="0"/>
    <x v="1"/>
    <x v="1"/>
    <x v="1"/>
    <x v="1"/>
    <n v="5747"/>
    <x v="3"/>
    <x v="0"/>
    <x v="0"/>
    <n v="2025"/>
    <m/>
  </r>
  <r>
    <d v="2025-01-16T00:00:00"/>
    <x v="0"/>
    <x v="1"/>
    <x v="1"/>
    <x v="1"/>
    <x v="1"/>
    <n v="6212"/>
    <x v="0"/>
    <x v="1"/>
    <x v="0"/>
    <n v="2025"/>
    <m/>
  </r>
  <r>
    <d v="2025-01-17T00:00:00"/>
    <x v="0"/>
    <x v="2"/>
    <x v="0"/>
    <x v="5"/>
    <x v="0"/>
    <n v="95382"/>
    <x v="0"/>
    <x v="2"/>
    <x v="0"/>
    <n v="2025"/>
    <m/>
  </r>
  <r>
    <d v="2025-01-17T00:00:00"/>
    <x v="0"/>
    <x v="1"/>
    <x v="5"/>
    <x v="6"/>
    <x v="1"/>
    <n v="3249"/>
    <x v="1"/>
    <x v="2"/>
    <x v="0"/>
    <n v="2025"/>
    <m/>
  </r>
  <r>
    <d v="2025-01-18T00:00:00"/>
    <x v="0"/>
    <x v="1"/>
    <x v="9"/>
    <x v="11"/>
    <x v="1"/>
    <n v="8143"/>
    <x v="1"/>
    <x v="3"/>
    <x v="1"/>
    <n v="2025"/>
    <m/>
  </r>
  <r>
    <d v="2025-01-19T00:00:00"/>
    <x v="0"/>
    <x v="4"/>
    <x v="0"/>
    <x v="12"/>
    <x v="0"/>
    <n v="46565"/>
    <x v="0"/>
    <x v="4"/>
    <x v="1"/>
    <n v="2025"/>
    <m/>
  </r>
  <r>
    <d v="2025-01-19T00:00:00"/>
    <x v="0"/>
    <x v="1"/>
    <x v="8"/>
    <x v="10"/>
    <x v="1"/>
    <n v="20571"/>
    <x v="3"/>
    <x v="4"/>
    <x v="1"/>
    <n v="2025"/>
    <m/>
  </r>
  <r>
    <d v="2025-01-20T00:00:00"/>
    <x v="0"/>
    <x v="1"/>
    <x v="10"/>
    <x v="13"/>
    <x v="1"/>
    <n v="7240"/>
    <x v="2"/>
    <x v="5"/>
    <x v="0"/>
    <n v="2025"/>
    <m/>
  </r>
  <r>
    <d v="2025-01-21T00:00:00"/>
    <x v="0"/>
    <x v="1"/>
    <x v="3"/>
    <x v="3"/>
    <x v="1"/>
    <n v="11212"/>
    <x v="1"/>
    <x v="6"/>
    <x v="0"/>
    <n v="2025"/>
    <m/>
  </r>
  <r>
    <d v="2025-01-22T00:00:00"/>
    <x v="0"/>
    <x v="1"/>
    <x v="7"/>
    <x v="9"/>
    <x v="1"/>
    <n v="5191"/>
    <x v="0"/>
    <x v="0"/>
    <x v="0"/>
    <n v="2025"/>
    <m/>
  </r>
  <r>
    <d v="2025-01-23T00:00:00"/>
    <x v="0"/>
    <x v="2"/>
    <x v="0"/>
    <x v="5"/>
    <x v="0"/>
    <n v="168227"/>
    <x v="0"/>
    <x v="1"/>
    <x v="0"/>
    <n v="2025"/>
    <m/>
  </r>
  <r>
    <d v="2025-01-23T00:00:00"/>
    <x v="0"/>
    <x v="1"/>
    <x v="6"/>
    <x v="7"/>
    <x v="1"/>
    <n v="60470"/>
    <x v="2"/>
    <x v="1"/>
    <x v="0"/>
    <n v="2025"/>
    <m/>
  </r>
  <r>
    <d v="2025-01-24T00:00:00"/>
    <x v="0"/>
    <x v="1"/>
    <x v="11"/>
    <x v="14"/>
    <x v="1"/>
    <n v="4697"/>
    <x v="3"/>
    <x v="2"/>
    <x v="0"/>
    <n v="2025"/>
    <m/>
  </r>
  <r>
    <d v="2025-01-25T00:00:00"/>
    <x v="0"/>
    <x v="1"/>
    <x v="10"/>
    <x v="13"/>
    <x v="1"/>
    <n v="9698"/>
    <x v="3"/>
    <x v="3"/>
    <x v="1"/>
    <n v="2025"/>
    <m/>
  </r>
  <r>
    <d v="2025-01-26T00:00:00"/>
    <x v="0"/>
    <x v="1"/>
    <x v="1"/>
    <x v="1"/>
    <x v="1"/>
    <n v="3867"/>
    <x v="3"/>
    <x v="4"/>
    <x v="1"/>
    <n v="2025"/>
    <m/>
  </r>
  <r>
    <d v="2025-01-27T00:00:00"/>
    <x v="0"/>
    <x v="5"/>
    <x v="0"/>
    <x v="15"/>
    <x v="0"/>
    <n v="136454"/>
    <x v="0"/>
    <x v="5"/>
    <x v="0"/>
    <n v="2025"/>
    <m/>
  </r>
  <r>
    <d v="2025-01-27T00:00:00"/>
    <x v="0"/>
    <x v="1"/>
    <x v="9"/>
    <x v="11"/>
    <x v="1"/>
    <n v="15928"/>
    <x v="0"/>
    <x v="5"/>
    <x v="0"/>
    <n v="2025"/>
    <m/>
  </r>
  <r>
    <d v="2025-01-28T00:00:00"/>
    <x v="0"/>
    <x v="1"/>
    <x v="3"/>
    <x v="3"/>
    <x v="1"/>
    <n v="3094"/>
    <x v="1"/>
    <x v="6"/>
    <x v="0"/>
    <n v="2025"/>
    <m/>
  </r>
  <r>
    <d v="2025-01-29T00:00:00"/>
    <x v="0"/>
    <x v="1"/>
    <x v="12"/>
    <x v="16"/>
    <x v="1"/>
    <n v="3144"/>
    <x v="3"/>
    <x v="0"/>
    <x v="0"/>
    <n v="2025"/>
    <m/>
  </r>
  <r>
    <d v="2025-01-30T00:00:00"/>
    <x v="0"/>
    <x v="1"/>
    <x v="5"/>
    <x v="6"/>
    <x v="1"/>
    <n v="6522"/>
    <x v="1"/>
    <x v="1"/>
    <x v="0"/>
    <n v="2025"/>
    <m/>
  </r>
  <r>
    <d v="2025-01-31T00:00:00"/>
    <x v="0"/>
    <x v="1"/>
    <x v="6"/>
    <x v="7"/>
    <x v="1"/>
    <n v="67261"/>
    <x v="1"/>
    <x v="2"/>
    <x v="0"/>
    <n v="2025"/>
    <m/>
  </r>
  <r>
    <d v="2025-02-01T00:00:00"/>
    <x v="1"/>
    <x v="0"/>
    <x v="0"/>
    <x v="0"/>
    <x v="0"/>
    <n v="450000"/>
    <x v="0"/>
    <x v="3"/>
    <x v="1"/>
    <n v="2025"/>
    <m/>
  </r>
  <r>
    <d v="2025-02-01T00:00:00"/>
    <x v="1"/>
    <x v="1"/>
    <x v="11"/>
    <x v="14"/>
    <x v="1"/>
    <n v="4592"/>
    <x v="3"/>
    <x v="3"/>
    <x v="1"/>
    <n v="2025"/>
    <m/>
  </r>
  <r>
    <d v="2025-02-02T00:00:00"/>
    <x v="1"/>
    <x v="1"/>
    <x v="4"/>
    <x v="4"/>
    <x v="1"/>
    <n v="3579"/>
    <x v="0"/>
    <x v="4"/>
    <x v="1"/>
    <n v="2025"/>
    <m/>
  </r>
  <r>
    <d v="2025-02-03T00:00:00"/>
    <x v="1"/>
    <x v="1"/>
    <x v="11"/>
    <x v="14"/>
    <x v="1"/>
    <n v="3429"/>
    <x v="0"/>
    <x v="5"/>
    <x v="0"/>
    <n v="2025"/>
    <m/>
  </r>
  <r>
    <d v="2025-02-04T00:00:00"/>
    <x v="1"/>
    <x v="1"/>
    <x v="8"/>
    <x v="10"/>
    <x v="1"/>
    <n v="6890"/>
    <x v="3"/>
    <x v="6"/>
    <x v="0"/>
    <n v="2025"/>
    <m/>
  </r>
  <r>
    <d v="2025-02-05T00:00:00"/>
    <x v="1"/>
    <x v="4"/>
    <x v="0"/>
    <x v="12"/>
    <x v="0"/>
    <n v="82511"/>
    <x v="0"/>
    <x v="0"/>
    <x v="0"/>
    <n v="2025"/>
    <m/>
  </r>
  <r>
    <d v="2025-02-05T00:00:00"/>
    <x v="1"/>
    <x v="1"/>
    <x v="13"/>
    <x v="17"/>
    <x v="1"/>
    <n v="18738"/>
    <x v="3"/>
    <x v="0"/>
    <x v="0"/>
    <n v="2025"/>
    <m/>
  </r>
  <r>
    <d v="2025-02-06T00:00:00"/>
    <x v="1"/>
    <x v="1"/>
    <x v="1"/>
    <x v="1"/>
    <x v="1"/>
    <n v="10000"/>
    <x v="2"/>
    <x v="1"/>
    <x v="0"/>
    <n v="2025"/>
    <m/>
  </r>
  <r>
    <d v="2025-02-07T00:00:00"/>
    <x v="1"/>
    <x v="1"/>
    <x v="7"/>
    <x v="9"/>
    <x v="1"/>
    <n v="6704"/>
    <x v="1"/>
    <x v="2"/>
    <x v="0"/>
    <n v="2025"/>
    <m/>
  </r>
  <r>
    <d v="2025-02-08T00:00:00"/>
    <x v="1"/>
    <x v="4"/>
    <x v="0"/>
    <x v="12"/>
    <x v="0"/>
    <n v="50747"/>
    <x v="0"/>
    <x v="3"/>
    <x v="1"/>
    <n v="2025"/>
    <m/>
  </r>
  <r>
    <d v="2025-02-08T00:00:00"/>
    <x v="1"/>
    <x v="1"/>
    <x v="7"/>
    <x v="9"/>
    <x v="1"/>
    <n v="2343"/>
    <x v="2"/>
    <x v="3"/>
    <x v="1"/>
    <n v="2025"/>
    <m/>
  </r>
  <r>
    <d v="2025-02-09T00:00:00"/>
    <x v="1"/>
    <x v="1"/>
    <x v="9"/>
    <x v="11"/>
    <x v="1"/>
    <n v="8379"/>
    <x v="0"/>
    <x v="4"/>
    <x v="1"/>
    <n v="2025"/>
    <m/>
  </r>
  <r>
    <d v="2025-02-10T00:00:00"/>
    <x v="1"/>
    <x v="1"/>
    <x v="6"/>
    <x v="7"/>
    <x v="1"/>
    <n v="74740"/>
    <x v="3"/>
    <x v="5"/>
    <x v="0"/>
    <n v="2025"/>
    <m/>
  </r>
  <r>
    <d v="2025-02-11T00:00:00"/>
    <x v="1"/>
    <x v="2"/>
    <x v="0"/>
    <x v="5"/>
    <x v="0"/>
    <n v="43453"/>
    <x v="0"/>
    <x v="6"/>
    <x v="0"/>
    <n v="2025"/>
    <m/>
  </r>
  <r>
    <d v="2025-02-11T00:00:00"/>
    <x v="1"/>
    <x v="1"/>
    <x v="10"/>
    <x v="13"/>
    <x v="1"/>
    <n v="8775"/>
    <x v="2"/>
    <x v="6"/>
    <x v="0"/>
    <n v="2025"/>
    <m/>
  </r>
  <r>
    <d v="2025-02-12T00:00:00"/>
    <x v="1"/>
    <x v="1"/>
    <x v="6"/>
    <x v="7"/>
    <x v="1"/>
    <n v="67421"/>
    <x v="1"/>
    <x v="0"/>
    <x v="0"/>
    <n v="2025"/>
    <m/>
  </r>
  <r>
    <d v="2025-02-13T00:00:00"/>
    <x v="1"/>
    <x v="4"/>
    <x v="0"/>
    <x v="12"/>
    <x v="0"/>
    <n v="47299"/>
    <x v="0"/>
    <x v="1"/>
    <x v="0"/>
    <n v="2025"/>
    <m/>
  </r>
  <r>
    <d v="2025-02-13T00:00:00"/>
    <x v="1"/>
    <x v="1"/>
    <x v="11"/>
    <x v="14"/>
    <x v="1"/>
    <n v="2117"/>
    <x v="3"/>
    <x v="1"/>
    <x v="0"/>
    <n v="2025"/>
    <m/>
  </r>
  <r>
    <d v="2025-02-14T00:00:00"/>
    <x v="1"/>
    <x v="1"/>
    <x v="11"/>
    <x v="14"/>
    <x v="1"/>
    <n v="5640"/>
    <x v="3"/>
    <x v="2"/>
    <x v="0"/>
    <n v="2025"/>
    <m/>
  </r>
  <r>
    <d v="2025-02-15T00:00:00"/>
    <x v="1"/>
    <x v="1"/>
    <x v="6"/>
    <x v="7"/>
    <x v="1"/>
    <n v="79625"/>
    <x v="0"/>
    <x v="3"/>
    <x v="1"/>
    <n v="2025"/>
    <m/>
  </r>
  <r>
    <d v="2025-02-16T00:00:00"/>
    <x v="1"/>
    <x v="1"/>
    <x v="3"/>
    <x v="3"/>
    <x v="1"/>
    <n v="7380"/>
    <x v="1"/>
    <x v="4"/>
    <x v="1"/>
    <n v="2025"/>
    <m/>
  </r>
  <r>
    <d v="2025-02-17T00:00:00"/>
    <x v="1"/>
    <x v="1"/>
    <x v="6"/>
    <x v="7"/>
    <x v="1"/>
    <n v="70942"/>
    <x v="3"/>
    <x v="5"/>
    <x v="0"/>
    <n v="2025"/>
    <m/>
  </r>
  <r>
    <d v="2025-02-18T00:00:00"/>
    <x v="1"/>
    <x v="1"/>
    <x v="5"/>
    <x v="6"/>
    <x v="1"/>
    <n v="5971"/>
    <x v="1"/>
    <x v="6"/>
    <x v="0"/>
    <n v="2025"/>
    <m/>
  </r>
  <r>
    <d v="2025-02-19T00:00:00"/>
    <x v="1"/>
    <x v="1"/>
    <x v="3"/>
    <x v="3"/>
    <x v="1"/>
    <n v="6200"/>
    <x v="3"/>
    <x v="0"/>
    <x v="0"/>
    <n v="2025"/>
    <m/>
  </r>
  <r>
    <d v="2025-02-20T00:00:00"/>
    <x v="1"/>
    <x v="1"/>
    <x v="13"/>
    <x v="17"/>
    <x v="1"/>
    <n v="19416"/>
    <x v="0"/>
    <x v="1"/>
    <x v="0"/>
    <n v="2025"/>
    <m/>
  </r>
  <r>
    <d v="2025-02-21T00:00:00"/>
    <x v="1"/>
    <x v="1"/>
    <x v="7"/>
    <x v="9"/>
    <x v="1"/>
    <n v="3005"/>
    <x v="1"/>
    <x v="2"/>
    <x v="0"/>
    <n v="2025"/>
    <m/>
  </r>
  <r>
    <d v="2025-02-22T00:00:00"/>
    <x v="1"/>
    <x v="1"/>
    <x v="13"/>
    <x v="17"/>
    <x v="1"/>
    <n v="17919"/>
    <x v="2"/>
    <x v="3"/>
    <x v="1"/>
    <n v="2025"/>
    <m/>
  </r>
  <r>
    <d v="2025-02-23T00:00:00"/>
    <x v="1"/>
    <x v="1"/>
    <x v="1"/>
    <x v="1"/>
    <x v="1"/>
    <n v="7954"/>
    <x v="3"/>
    <x v="4"/>
    <x v="1"/>
    <n v="2025"/>
    <m/>
  </r>
  <r>
    <d v="2025-02-24T00:00:00"/>
    <x v="1"/>
    <x v="1"/>
    <x v="10"/>
    <x v="13"/>
    <x v="1"/>
    <n v="2410"/>
    <x v="2"/>
    <x v="5"/>
    <x v="0"/>
    <n v="2025"/>
    <m/>
  </r>
  <r>
    <d v="2025-02-25T00:00:00"/>
    <x v="1"/>
    <x v="1"/>
    <x v="7"/>
    <x v="9"/>
    <x v="1"/>
    <n v="2784"/>
    <x v="1"/>
    <x v="6"/>
    <x v="0"/>
    <n v="2025"/>
    <m/>
  </r>
  <r>
    <d v="2025-02-26T00:00:00"/>
    <x v="1"/>
    <x v="1"/>
    <x v="10"/>
    <x v="13"/>
    <x v="1"/>
    <n v="6842"/>
    <x v="2"/>
    <x v="0"/>
    <x v="0"/>
    <n v="2025"/>
    <m/>
  </r>
  <r>
    <d v="2025-02-27T00:00:00"/>
    <x v="1"/>
    <x v="1"/>
    <x v="4"/>
    <x v="4"/>
    <x v="1"/>
    <n v="11157"/>
    <x v="1"/>
    <x v="1"/>
    <x v="0"/>
    <n v="2025"/>
    <m/>
  </r>
  <r>
    <d v="2025-02-28T00:00:00"/>
    <x v="1"/>
    <x v="1"/>
    <x v="13"/>
    <x v="17"/>
    <x v="1"/>
    <n v="23175"/>
    <x v="1"/>
    <x v="2"/>
    <x v="0"/>
    <n v="2025"/>
    <m/>
  </r>
  <r>
    <d v="2025-03-01T00:00:00"/>
    <x v="2"/>
    <x v="0"/>
    <x v="0"/>
    <x v="0"/>
    <x v="0"/>
    <n v="450000"/>
    <x v="0"/>
    <x v="3"/>
    <x v="1"/>
    <n v="2025"/>
    <m/>
  </r>
  <r>
    <d v="2025-03-01T00:00:00"/>
    <x v="2"/>
    <x v="1"/>
    <x v="12"/>
    <x v="16"/>
    <x v="1"/>
    <n v="2104"/>
    <x v="3"/>
    <x v="3"/>
    <x v="1"/>
    <n v="2025"/>
    <m/>
  </r>
  <r>
    <d v="2025-03-02T00:00:00"/>
    <x v="2"/>
    <x v="1"/>
    <x v="10"/>
    <x v="13"/>
    <x v="1"/>
    <n v="4996"/>
    <x v="0"/>
    <x v="4"/>
    <x v="1"/>
    <n v="2025"/>
    <m/>
  </r>
  <r>
    <d v="2025-03-03T00:00:00"/>
    <x v="2"/>
    <x v="1"/>
    <x v="13"/>
    <x v="17"/>
    <x v="1"/>
    <n v="24183"/>
    <x v="1"/>
    <x v="5"/>
    <x v="0"/>
    <n v="2025"/>
    <m/>
  </r>
  <r>
    <d v="2025-03-04T00:00:00"/>
    <x v="2"/>
    <x v="1"/>
    <x v="11"/>
    <x v="14"/>
    <x v="1"/>
    <n v="4205"/>
    <x v="3"/>
    <x v="6"/>
    <x v="0"/>
    <n v="2025"/>
    <m/>
  </r>
  <r>
    <d v="2025-03-05T00:00:00"/>
    <x v="2"/>
    <x v="1"/>
    <x v="5"/>
    <x v="6"/>
    <x v="1"/>
    <n v="5466"/>
    <x v="0"/>
    <x v="0"/>
    <x v="0"/>
    <n v="2025"/>
    <m/>
  </r>
  <r>
    <d v="2025-03-06T00:00:00"/>
    <x v="2"/>
    <x v="1"/>
    <x v="13"/>
    <x v="17"/>
    <x v="1"/>
    <n v="7847"/>
    <x v="3"/>
    <x v="1"/>
    <x v="0"/>
    <n v="2025"/>
    <m/>
  </r>
  <r>
    <d v="2025-03-07T00:00:00"/>
    <x v="2"/>
    <x v="1"/>
    <x v="10"/>
    <x v="13"/>
    <x v="1"/>
    <n v="9527"/>
    <x v="0"/>
    <x v="2"/>
    <x v="0"/>
    <n v="2025"/>
    <m/>
  </r>
  <r>
    <d v="2025-03-08T00:00:00"/>
    <x v="2"/>
    <x v="1"/>
    <x v="11"/>
    <x v="14"/>
    <x v="1"/>
    <n v="5982"/>
    <x v="2"/>
    <x v="3"/>
    <x v="1"/>
    <n v="2025"/>
    <m/>
  </r>
  <r>
    <d v="2025-03-09T00:00:00"/>
    <x v="2"/>
    <x v="1"/>
    <x v="9"/>
    <x v="11"/>
    <x v="1"/>
    <n v="13079"/>
    <x v="3"/>
    <x v="4"/>
    <x v="1"/>
    <n v="2025"/>
    <m/>
  </r>
  <r>
    <d v="2025-03-10T00:00:00"/>
    <x v="2"/>
    <x v="2"/>
    <x v="0"/>
    <x v="5"/>
    <x v="0"/>
    <n v="112764"/>
    <x v="0"/>
    <x v="5"/>
    <x v="0"/>
    <n v="2025"/>
    <m/>
  </r>
  <r>
    <d v="2025-03-10T00:00:00"/>
    <x v="2"/>
    <x v="1"/>
    <x v="11"/>
    <x v="14"/>
    <x v="1"/>
    <n v="4483"/>
    <x v="3"/>
    <x v="5"/>
    <x v="0"/>
    <n v="2025"/>
    <m/>
  </r>
  <r>
    <d v="2025-03-11T00:00:00"/>
    <x v="2"/>
    <x v="2"/>
    <x v="0"/>
    <x v="5"/>
    <x v="0"/>
    <n v="47734"/>
    <x v="0"/>
    <x v="6"/>
    <x v="0"/>
    <n v="2025"/>
    <m/>
  </r>
  <r>
    <d v="2025-03-11T00:00:00"/>
    <x v="2"/>
    <x v="1"/>
    <x v="5"/>
    <x v="6"/>
    <x v="1"/>
    <n v="3288"/>
    <x v="1"/>
    <x v="6"/>
    <x v="0"/>
    <n v="2025"/>
    <m/>
  </r>
  <r>
    <d v="2025-03-12T00:00:00"/>
    <x v="2"/>
    <x v="1"/>
    <x v="2"/>
    <x v="2"/>
    <x v="1"/>
    <n v="2245"/>
    <x v="2"/>
    <x v="0"/>
    <x v="0"/>
    <n v="2025"/>
    <m/>
  </r>
  <r>
    <d v="2025-03-13T00:00:00"/>
    <x v="2"/>
    <x v="1"/>
    <x v="6"/>
    <x v="7"/>
    <x v="1"/>
    <n v="79320"/>
    <x v="2"/>
    <x v="1"/>
    <x v="0"/>
    <n v="2025"/>
    <m/>
  </r>
  <r>
    <d v="2025-03-14T00:00:00"/>
    <x v="2"/>
    <x v="1"/>
    <x v="8"/>
    <x v="10"/>
    <x v="1"/>
    <n v="20294"/>
    <x v="1"/>
    <x v="2"/>
    <x v="0"/>
    <n v="2025"/>
    <m/>
  </r>
  <r>
    <d v="2025-03-15T00:00:00"/>
    <x v="2"/>
    <x v="1"/>
    <x v="8"/>
    <x v="10"/>
    <x v="1"/>
    <n v="5908"/>
    <x v="0"/>
    <x v="3"/>
    <x v="1"/>
    <n v="2025"/>
    <m/>
  </r>
  <r>
    <d v="2025-03-16T00:00:00"/>
    <x v="2"/>
    <x v="1"/>
    <x v="7"/>
    <x v="9"/>
    <x v="1"/>
    <n v="6037"/>
    <x v="3"/>
    <x v="4"/>
    <x v="1"/>
    <n v="2025"/>
    <m/>
  </r>
  <r>
    <d v="2025-03-17T00:00:00"/>
    <x v="2"/>
    <x v="1"/>
    <x v="9"/>
    <x v="11"/>
    <x v="1"/>
    <n v="17434"/>
    <x v="3"/>
    <x v="5"/>
    <x v="0"/>
    <n v="2025"/>
    <m/>
  </r>
  <r>
    <d v="2025-03-18T00:00:00"/>
    <x v="2"/>
    <x v="1"/>
    <x v="4"/>
    <x v="4"/>
    <x v="1"/>
    <n v="9318"/>
    <x v="1"/>
    <x v="6"/>
    <x v="0"/>
    <n v="2025"/>
    <m/>
  </r>
  <r>
    <d v="2025-03-19T00:00:00"/>
    <x v="2"/>
    <x v="4"/>
    <x v="0"/>
    <x v="12"/>
    <x v="0"/>
    <n v="119882"/>
    <x v="0"/>
    <x v="0"/>
    <x v="0"/>
    <n v="2025"/>
    <m/>
  </r>
  <r>
    <d v="2025-03-19T00:00:00"/>
    <x v="2"/>
    <x v="1"/>
    <x v="1"/>
    <x v="1"/>
    <x v="1"/>
    <n v="6864"/>
    <x v="3"/>
    <x v="0"/>
    <x v="0"/>
    <n v="2025"/>
    <m/>
  </r>
  <r>
    <d v="2025-03-20T00:00:00"/>
    <x v="2"/>
    <x v="1"/>
    <x v="8"/>
    <x v="10"/>
    <x v="1"/>
    <n v="12686"/>
    <x v="2"/>
    <x v="1"/>
    <x v="0"/>
    <n v="2025"/>
    <m/>
  </r>
  <r>
    <d v="2025-03-21T00:00:00"/>
    <x v="2"/>
    <x v="1"/>
    <x v="9"/>
    <x v="11"/>
    <x v="1"/>
    <n v="9477"/>
    <x v="1"/>
    <x v="2"/>
    <x v="0"/>
    <n v="2025"/>
    <m/>
  </r>
  <r>
    <d v="2025-03-22T00:00:00"/>
    <x v="2"/>
    <x v="1"/>
    <x v="10"/>
    <x v="13"/>
    <x v="1"/>
    <n v="9880"/>
    <x v="1"/>
    <x v="3"/>
    <x v="1"/>
    <n v="2025"/>
    <m/>
  </r>
  <r>
    <d v="2025-03-23T00:00:00"/>
    <x v="2"/>
    <x v="1"/>
    <x v="7"/>
    <x v="9"/>
    <x v="1"/>
    <n v="3674"/>
    <x v="0"/>
    <x v="4"/>
    <x v="1"/>
    <n v="2025"/>
    <m/>
  </r>
  <r>
    <d v="2025-03-24T00:00:00"/>
    <x v="2"/>
    <x v="1"/>
    <x v="6"/>
    <x v="7"/>
    <x v="1"/>
    <n v="60033"/>
    <x v="1"/>
    <x v="5"/>
    <x v="0"/>
    <n v="2025"/>
    <m/>
  </r>
  <r>
    <d v="2025-03-25T00:00:00"/>
    <x v="2"/>
    <x v="1"/>
    <x v="4"/>
    <x v="4"/>
    <x v="1"/>
    <n v="4391"/>
    <x v="0"/>
    <x v="6"/>
    <x v="0"/>
    <n v="2025"/>
    <m/>
  </r>
  <r>
    <d v="2025-03-26T00:00:00"/>
    <x v="2"/>
    <x v="1"/>
    <x v="2"/>
    <x v="2"/>
    <x v="1"/>
    <n v="6362"/>
    <x v="3"/>
    <x v="0"/>
    <x v="0"/>
    <n v="2025"/>
    <m/>
  </r>
  <r>
    <d v="2025-03-27T00:00:00"/>
    <x v="2"/>
    <x v="3"/>
    <x v="0"/>
    <x v="8"/>
    <x v="0"/>
    <n v="158645"/>
    <x v="0"/>
    <x v="1"/>
    <x v="0"/>
    <n v="2025"/>
    <m/>
  </r>
  <r>
    <d v="2025-03-27T00:00:00"/>
    <x v="2"/>
    <x v="1"/>
    <x v="2"/>
    <x v="2"/>
    <x v="1"/>
    <n v="4354"/>
    <x v="0"/>
    <x v="1"/>
    <x v="0"/>
    <n v="2025"/>
    <m/>
  </r>
  <r>
    <d v="2025-03-28T00:00:00"/>
    <x v="2"/>
    <x v="1"/>
    <x v="6"/>
    <x v="7"/>
    <x v="1"/>
    <n v="61151"/>
    <x v="3"/>
    <x v="2"/>
    <x v="0"/>
    <n v="2025"/>
    <m/>
  </r>
  <r>
    <d v="2025-03-29T00:00:00"/>
    <x v="2"/>
    <x v="1"/>
    <x v="3"/>
    <x v="3"/>
    <x v="1"/>
    <n v="3745"/>
    <x v="3"/>
    <x v="3"/>
    <x v="1"/>
    <n v="2025"/>
    <m/>
  </r>
  <r>
    <d v="2025-03-30T00:00:00"/>
    <x v="2"/>
    <x v="1"/>
    <x v="10"/>
    <x v="13"/>
    <x v="1"/>
    <n v="6166"/>
    <x v="0"/>
    <x v="4"/>
    <x v="1"/>
    <n v="2025"/>
    <m/>
  </r>
  <r>
    <d v="2025-03-31T00:00:00"/>
    <x v="2"/>
    <x v="2"/>
    <x v="0"/>
    <x v="5"/>
    <x v="0"/>
    <n v="167618"/>
    <x v="0"/>
    <x v="5"/>
    <x v="0"/>
    <n v="2025"/>
    <m/>
  </r>
  <r>
    <d v="2025-03-31T00:00:00"/>
    <x v="2"/>
    <x v="1"/>
    <x v="5"/>
    <x v="6"/>
    <x v="1"/>
    <n v="3853"/>
    <x v="0"/>
    <x v="5"/>
    <x v="0"/>
    <n v="2025"/>
    <m/>
  </r>
  <r>
    <d v="2025-04-01T00:00:00"/>
    <x v="3"/>
    <x v="0"/>
    <x v="0"/>
    <x v="0"/>
    <x v="0"/>
    <n v="450000"/>
    <x v="0"/>
    <x v="6"/>
    <x v="0"/>
    <n v="2025"/>
    <m/>
  </r>
  <r>
    <d v="2025-04-01T00:00:00"/>
    <x v="3"/>
    <x v="1"/>
    <x v="8"/>
    <x v="10"/>
    <x v="1"/>
    <n v="14178"/>
    <x v="3"/>
    <x v="6"/>
    <x v="0"/>
    <n v="2025"/>
    <m/>
  </r>
  <r>
    <d v="2025-04-02T00:00:00"/>
    <x v="3"/>
    <x v="1"/>
    <x v="4"/>
    <x v="4"/>
    <x v="1"/>
    <n v="3004"/>
    <x v="0"/>
    <x v="0"/>
    <x v="0"/>
    <n v="2025"/>
    <m/>
  </r>
  <r>
    <d v="2025-04-03T00:00:00"/>
    <x v="3"/>
    <x v="1"/>
    <x v="7"/>
    <x v="9"/>
    <x v="1"/>
    <n v="5150"/>
    <x v="1"/>
    <x v="1"/>
    <x v="0"/>
    <n v="2025"/>
    <m/>
  </r>
  <r>
    <d v="2025-04-04T00:00:00"/>
    <x v="3"/>
    <x v="1"/>
    <x v="9"/>
    <x v="11"/>
    <x v="1"/>
    <n v="10155"/>
    <x v="3"/>
    <x v="2"/>
    <x v="0"/>
    <n v="2025"/>
    <m/>
  </r>
  <r>
    <d v="2025-04-05T00:00:00"/>
    <x v="3"/>
    <x v="1"/>
    <x v="13"/>
    <x v="17"/>
    <x v="1"/>
    <n v="8171"/>
    <x v="0"/>
    <x v="3"/>
    <x v="1"/>
    <n v="2025"/>
    <m/>
  </r>
  <r>
    <d v="2025-04-06T00:00:00"/>
    <x v="3"/>
    <x v="1"/>
    <x v="5"/>
    <x v="6"/>
    <x v="1"/>
    <n v="4023"/>
    <x v="0"/>
    <x v="4"/>
    <x v="1"/>
    <n v="2025"/>
    <m/>
  </r>
  <r>
    <d v="2025-04-07T00:00:00"/>
    <x v="3"/>
    <x v="5"/>
    <x v="0"/>
    <x v="15"/>
    <x v="0"/>
    <n v="45511"/>
    <x v="0"/>
    <x v="5"/>
    <x v="0"/>
    <n v="2025"/>
    <m/>
  </r>
  <r>
    <d v="2025-04-07T00:00:00"/>
    <x v="3"/>
    <x v="1"/>
    <x v="1"/>
    <x v="1"/>
    <x v="1"/>
    <n v="9059"/>
    <x v="2"/>
    <x v="5"/>
    <x v="0"/>
    <n v="2025"/>
    <m/>
  </r>
  <r>
    <d v="2025-04-08T00:00:00"/>
    <x v="3"/>
    <x v="2"/>
    <x v="0"/>
    <x v="5"/>
    <x v="0"/>
    <n v="103388"/>
    <x v="0"/>
    <x v="6"/>
    <x v="0"/>
    <n v="2025"/>
    <m/>
  </r>
  <r>
    <d v="2025-04-08T00:00:00"/>
    <x v="3"/>
    <x v="1"/>
    <x v="5"/>
    <x v="6"/>
    <x v="1"/>
    <n v="4578"/>
    <x v="3"/>
    <x v="6"/>
    <x v="0"/>
    <n v="2025"/>
    <m/>
  </r>
  <r>
    <d v="2025-04-09T00:00:00"/>
    <x v="3"/>
    <x v="1"/>
    <x v="6"/>
    <x v="7"/>
    <x v="1"/>
    <n v="77821"/>
    <x v="1"/>
    <x v="0"/>
    <x v="0"/>
    <n v="2025"/>
    <m/>
  </r>
  <r>
    <d v="2025-04-10T00:00:00"/>
    <x v="3"/>
    <x v="1"/>
    <x v="10"/>
    <x v="13"/>
    <x v="1"/>
    <n v="7539"/>
    <x v="2"/>
    <x v="1"/>
    <x v="0"/>
    <n v="2025"/>
    <m/>
  </r>
  <r>
    <d v="2025-04-11T00:00:00"/>
    <x v="3"/>
    <x v="1"/>
    <x v="1"/>
    <x v="1"/>
    <x v="1"/>
    <n v="3488"/>
    <x v="1"/>
    <x v="2"/>
    <x v="0"/>
    <n v="2025"/>
    <m/>
  </r>
  <r>
    <d v="2025-04-12T00:00:00"/>
    <x v="3"/>
    <x v="1"/>
    <x v="10"/>
    <x v="13"/>
    <x v="1"/>
    <n v="4391"/>
    <x v="2"/>
    <x v="3"/>
    <x v="1"/>
    <n v="2025"/>
    <m/>
  </r>
  <r>
    <d v="2025-04-13T00:00:00"/>
    <x v="3"/>
    <x v="1"/>
    <x v="10"/>
    <x v="13"/>
    <x v="1"/>
    <n v="6803"/>
    <x v="2"/>
    <x v="4"/>
    <x v="1"/>
    <n v="2025"/>
    <m/>
  </r>
  <r>
    <d v="2025-04-14T00:00:00"/>
    <x v="3"/>
    <x v="1"/>
    <x v="4"/>
    <x v="4"/>
    <x v="1"/>
    <n v="3179"/>
    <x v="3"/>
    <x v="5"/>
    <x v="0"/>
    <n v="2025"/>
    <m/>
  </r>
  <r>
    <d v="2025-04-15T00:00:00"/>
    <x v="3"/>
    <x v="1"/>
    <x v="12"/>
    <x v="16"/>
    <x v="1"/>
    <n v="1935"/>
    <x v="1"/>
    <x v="6"/>
    <x v="0"/>
    <n v="2025"/>
    <m/>
  </r>
  <r>
    <d v="2025-04-16T00:00:00"/>
    <x v="3"/>
    <x v="1"/>
    <x v="6"/>
    <x v="7"/>
    <x v="1"/>
    <n v="61071"/>
    <x v="0"/>
    <x v="0"/>
    <x v="0"/>
    <n v="2025"/>
    <m/>
  </r>
  <r>
    <d v="2025-04-17T00:00:00"/>
    <x v="3"/>
    <x v="1"/>
    <x v="10"/>
    <x v="13"/>
    <x v="1"/>
    <n v="2844"/>
    <x v="0"/>
    <x v="1"/>
    <x v="0"/>
    <n v="2025"/>
    <m/>
  </r>
  <r>
    <d v="2025-04-18T00:00:00"/>
    <x v="3"/>
    <x v="1"/>
    <x v="10"/>
    <x v="13"/>
    <x v="1"/>
    <n v="2613"/>
    <x v="3"/>
    <x v="2"/>
    <x v="0"/>
    <n v="2025"/>
    <m/>
  </r>
  <r>
    <d v="2025-04-19T00:00:00"/>
    <x v="3"/>
    <x v="1"/>
    <x v="10"/>
    <x v="13"/>
    <x v="1"/>
    <n v="7839"/>
    <x v="2"/>
    <x v="3"/>
    <x v="1"/>
    <n v="2025"/>
    <m/>
  </r>
  <r>
    <d v="2025-04-20T00:00:00"/>
    <x v="3"/>
    <x v="5"/>
    <x v="0"/>
    <x v="15"/>
    <x v="0"/>
    <n v="86828"/>
    <x v="0"/>
    <x v="4"/>
    <x v="1"/>
    <n v="2025"/>
    <m/>
  </r>
  <r>
    <d v="2025-04-20T00:00:00"/>
    <x v="3"/>
    <x v="1"/>
    <x v="13"/>
    <x v="17"/>
    <x v="1"/>
    <n v="18476"/>
    <x v="2"/>
    <x v="4"/>
    <x v="1"/>
    <n v="2025"/>
    <m/>
  </r>
  <r>
    <d v="2025-04-21T00:00:00"/>
    <x v="3"/>
    <x v="1"/>
    <x v="5"/>
    <x v="6"/>
    <x v="1"/>
    <n v="4901"/>
    <x v="3"/>
    <x v="5"/>
    <x v="0"/>
    <n v="2025"/>
    <m/>
  </r>
  <r>
    <d v="2025-04-22T00:00:00"/>
    <x v="3"/>
    <x v="1"/>
    <x v="11"/>
    <x v="14"/>
    <x v="1"/>
    <n v="2267"/>
    <x v="2"/>
    <x v="6"/>
    <x v="0"/>
    <n v="2025"/>
    <m/>
  </r>
  <r>
    <d v="2025-04-23T00:00:00"/>
    <x v="3"/>
    <x v="1"/>
    <x v="12"/>
    <x v="16"/>
    <x v="1"/>
    <n v="1863"/>
    <x v="2"/>
    <x v="0"/>
    <x v="0"/>
    <n v="2025"/>
    <m/>
  </r>
  <r>
    <d v="2025-04-24T00:00:00"/>
    <x v="3"/>
    <x v="1"/>
    <x v="10"/>
    <x v="13"/>
    <x v="1"/>
    <n v="3035"/>
    <x v="1"/>
    <x v="1"/>
    <x v="0"/>
    <n v="2025"/>
    <m/>
  </r>
  <r>
    <d v="2025-04-25T00:00:00"/>
    <x v="3"/>
    <x v="1"/>
    <x v="4"/>
    <x v="4"/>
    <x v="1"/>
    <n v="5126"/>
    <x v="2"/>
    <x v="2"/>
    <x v="0"/>
    <n v="2025"/>
    <m/>
  </r>
  <r>
    <d v="2025-04-26T00:00:00"/>
    <x v="3"/>
    <x v="5"/>
    <x v="0"/>
    <x v="15"/>
    <x v="0"/>
    <n v="59586"/>
    <x v="0"/>
    <x v="3"/>
    <x v="1"/>
    <n v="2025"/>
    <m/>
  </r>
  <r>
    <d v="2025-04-26T00:00:00"/>
    <x v="3"/>
    <x v="1"/>
    <x v="8"/>
    <x v="10"/>
    <x v="1"/>
    <n v="6786"/>
    <x v="0"/>
    <x v="3"/>
    <x v="1"/>
    <n v="2025"/>
    <m/>
  </r>
  <r>
    <d v="2025-04-27T00:00:00"/>
    <x v="3"/>
    <x v="1"/>
    <x v="1"/>
    <x v="1"/>
    <x v="1"/>
    <n v="7993"/>
    <x v="3"/>
    <x v="4"/>
    <x v="1"/>
    <n v="2025"/>
    <m/>
  </r>
  <r>
    <d v="2025-04-28T00:00:00"/>
    <x v="3"/>
    <x v="1"/>
    <x v="7"/>
    <x v="9"/>
    <x v="1"/>
    <n v="3667"/>
    <x v="3"/>
    <x v="5"/>
    <x v="0"/>
    <n v="2025"/>
    <m/>
  </r>
  <r>
    <d v="2025-04-29T00:00:00"/>
    <x v="3"/>
    <x v="2"/>
    <x v="0"/>
    <x v="5"/>
    <x v="0"/>
    <n v="113590"/>
    <x v="0"/>
    <x v="6"/>
    <x v="0"/>
    <n v="2025"/>
    <m/>
  </r>
  <r>
    <d v="2025-04-29T00:00:00"/>
    <x v="3"/>
    <x v="1"/>
    <x v="9"/>
    <x v="11"/>
    <x v="1"/>
    <n v="10193"/>
    <x v="2"/>
    <x v="6"/>
    <x v="0"/>
    <n v="2025"/>
    <m/>
  </r>
  <r>
    <d v="2025-04-30T00:00:00"/>
    <x v="3"/>
    <x v="1"/>
    <x v="4"/>
    <x v="4"/>
    <x v="1"/>
    <n v="6957"/>
    <x v="3"/>
    <x v="0"/>
    <x v="0"/>
    <n v="2025"/>
    <m/>
  </r>
  <r>
    <d v="2025-05-01T00:00:00"/>
    <x v="4"/>
    <x v="0"/>
    <x v="0"/>
    <x v="0"/>
    <x v="0"/>
    <n v="450000"/>
    <x v="0"/>
    <x v="1"/>
    <x v="0"/>
    <n v="2025"/>
    <m/>
  </r>
  <r>
    <d v="2025-05-01T00:00:00"/>
    <x v="4"/>
    <x v="1"/>
    <x v="11"/>
    <x v="14"/>
    <x v="1"/>
    <n v="5254"/>
    <x v="3"/>
    <x v="1"/>
    <x v="0"/>
    <n v="2025"/>
    <m/>
  </r>
  <r>
    <d v="2025-05-02T00:00:00"/>
    <x v="4"/>
    <x v="1"/>
    <x v="9"/>
    <x v="11"/>
    <x v="1"/>
    <n v="16981"/>
    <x v="1"/>
    <x v="2"/>
    <x v="0"/>
    <n v="2025"/>
    <m/>
  </r>
  <r>
    <d v="2025-05-03T00:00:00"/>
    <x v="4"/>
    <x v="1"/>
    <x v="6"/>
    <x v="7"/>
    <x v="1"/>
    <n v="75083"/>
    <x v="3"/>
    <x v="3"/>
    <x v="1"/>
    <n v="2025"/>
    <m/>
  </r>
  <r>
    <d v="2025-05-04T00:00:00"/>
    <x v="4"/>
    <x v="1"/>
    <x v="4"/>
    <x v="4"/>
    <x v="1"/>
    <n v="6241"/>
    <x v="1"/>
    <x v="4"/>
    <x v="1"/>
    <n v="2025"/>
    <m/>
  </r>
  <r>
    <d v="2025-05-05T00:00:00"/>
    <x v="4"/>
    <x v="1"/>
    <x v="6"/>
    <x v="7"/>
    <x v="1"/>
    <n v="60248"/>
    <x v="3"/>
    <x v="5"/>
    <x v="0"/>
    <n v="2025"/>
    <m/>
  </r>
  <r>
    <d v="2025-05-06T00:00:00"/>
    <x v="4"/>
    <x v="1"/>
    <x v="7"/>
    <x v="9"/>
    <x v="1"/>
    <n v="3893"/>
    <x v="0"/>
    <x v="6"/>
    <x v="0"/>
    <n v="2025"/>
    <m/>
  </r>
  <r>
    <d v="2025-05-07T00:00:00"/>
    <x v="4"/>
    <x v="1"/>
    <x v="5"/>
    <x v="6"/>
    <x v="1"/>
    <n v="8600"/>
    <x v="0"/>
    <x v="0"/>
    <x v="0"/>
    <n v="2025"/>
    <m/>
  </r>
  <r>
    <d v="2025-05-08T00:00:00"/>
    <x v="4"/>
    <x v="2"/>
    <x v="0"/>
    <x v="5"/>
    <x v="0"/>
    <n v="124447"/>
    <x v="0"/>
    <x v="1"/>
    <x v="0"/>
    <n v="2025"/>
    <m/>
  </r>
  <r>
    <d v="2025-05-08T00:00:00"/>
    <x v="4"/>
    <x v="1"/>
    <x v="6"/>
    <x v="7"/>
    <x v="1"/>
    <n v="73197"/>
    <x v="0"/>
    <x v="1"/>
    <x v="0"/>
    <n v="2025"/>
    <m/>
  </r>
  <r>
    <d v="2025-05-09T00:00:00"/>
    <x v="4"/>
    <x v="1"/>
    <x v="3"/>
    <x v="3"/>
    <x v="1"/>
    <n v="10878"/>
    <x v="3"/>
    <x v="2"/>
    <x v="0"/>
    <n v="2025"/>
    <m/>
  </r>
  <r>
    <d v="2025-05-10T00:00:00"/>
    <x v="4"/>
    <x v="1"/>
    <x v="10"/>
    <x v="13"/>
    <x v="1"/>
    <n v="3175"/>
    <x v="3"/>
    <x v="3"/>
    <x v="1"/>
    <n v="2025"/>
    <m/>
  </r>
  <r>
    <d v="2025-05-11T00:00:00"/>
    <x v="4"/>
    <x v="1"/>
    <x v="2"/>
    <x v="2"/>
    <x v="1"/>
    <n v="3473"/>
    <x v="1"/>
    <x v="4"/>
    <x v="1"/>
    <n v="2025"/>
    <m/>
  </r>
  <r>
    <d v="2025-05-12T00:00:00"/>
    <x v="4"/>
    <x v="2"/>
    <x v="0"/>
    <x v="5"/>
    <x v="0"/>
    <n v="139476"/>
    <x v="0"/>
    <x v="5"/>
    <x v="0"/>
    <n v="2025"/>
    <m/>
  </r>
  <r>
    <d v="2025-05-12T00:00:00"/>
    <x v="4"/>
    <x v="1"/>
    <x v="1"/>
    <x v="1"/>
    <x v="1"/>
    <n v="6305"/>
    <x v="3"/>
    <x v="5"/>
    <x v="0"/>
    <n v="2025"/>
    <m/>
  </r>
  <r>
    <d v="2025-05-13T00:00:00"/>
    <x v="4"/>
    <x v="1"/>
    <x v="6"/>
    <x v="7"/>
    <x v="1"/>
    <n v="57532"/>
    <x v="2"/>
    <x v="6"/>
    <x v="0"/>
    <n v="2025"/>
    <m/>
  </r>
  <r>
    <d v="2025-05-14T00:00:00"/>
    <x v="4"/>
    <x v="1"/>
    <x v="12"/>
    <x v="16"/>
    <x v="1"/>
    <n v="1520"/>
    <x v="0"/>
    <x v="0"/>
    <x v="0"/>
    <n v="2025"/>
    <m/>
  </r>
  <r>
    <d v="2025-05-15T00:00:00"/>
    <x v="4"/>
    <x v="2"/>
    <x v="0"/>
    <x v="5"/>
    <x v="0"/>
    <n v="56058"/>
    <x v="0"/>
    <x v="1"/>
    <x v="0"/>
    <n v="2025"/>
    <m/>
  </r>
  <r>
    <d v="2025-05-15T00:00:00"/>
    <x v="4"/>
    <x v="1"/>
    <x v="2"/>
    <x v="2"/>
    <x v="1"/>
    <n v="2755"/>
    <x v="3"/>
    <x v="1"/>
    <x v="0"/>
    <n v="2025"/>
    <m/>
  </r>
  <r>
    <d v="2025-05-16T00:00:00"/>
    <x v="4"/>
    <x v="1"/>
    <x v="4"/>
    <x v="4"/>
    <x v="1"/>
    <n v="6895"/>
    <x v="0"/>
    <x v="2"/>
    <x v="0"/>
    <n v="2025"/>
    <m/>
  </r>
  <r>
    <d v="2025-05-17T00:00:00"/>
    <x v="4"/>
    <x v="1"/>
    <x v="2"/>
    <x v="2"/>
    <x v="1"/>
    <n v="5490"/>
    <x v="3"/>
    <x v="3"/>
    <x v="1"/>
    <n v="2025"/>
    <m/>
  </r>
  <r>
    <d v="2025-05-18T00:00:00"/>
    <x v="4"/>
    <x v="1"/>
    <x v="4"/>
    <x v="4"/>
    <x v="1"/>
    <n v="5003"/>
    <x v="3"/>
    <x v="4"/>
    <x v="1"/>
    <n v="2025"/>
    <m/>
  </r>
  <r>
    <d v="2025-05-19T00:00:00"/>
    <x v="4"/>
    <x v="1"/>
    <x v="9"/>
    <x v="11"/>
    <x v="1"/>
    <n v="16008"/>
    <x v="2"/>
    <x v="5"/>
    <x v="0"/>
    <n v="2025"/>
    <m/>
  </r>
  <r>
    <d v="2025-05-20T00:00:00"/>
    <x v="4"/>
    <x v="1"/>
    <x v="7"/>
    <x v="9"/>
    <x v="1"/>
    <n v="2854"/>
    <x v="1"/>
    <x v="6"/>
    <x v="0"/>
    <n v="2025"/>
    <m/>
  </r>
  <r>
    <d v="2025-05-21T00:00:00"/>
    <x v="4"/>
    <x v="1"/>
    <x v="1"/>
    <x v="1"/>
    <x v="1"/>
    <n v="3949"/>
    <x v="1"/>
    <x v="0"/>
    <x v="0"/>
    <n v="2025"/>
    <m/>
  </r>
  <r>
    <d v="2025-05-22T00:00:00"/>
    <x v="4"/>
    <x v="1"/>
    <x v="9"/>
    <x v="11"/>
    <x v="1"/>
    <n v="13396"/>
    <x v="3"/>
    <x v="1"/>
    <x v="0"/>
    <n v="2025"/>
    <m/>
  </r>
  <r>
    <d v="2025-05-23T00:00:00"/>
    <x v="4"/>
    <x v="1"/>
    <x v="12"/>
    <x v="16"/>
    <x v="1"/>
    <n v="1218"/>
    <x v="3"/>
    <x v="2"/>
    <x v="0"/>
    <n v="2025"/>
    <m/>
  </r>
  <r>
    <d v="2025-05-24T00:00:00"/>
    <x v="4"/>
    <x v="1"/>
    <x v="3"/>
    <x v="3"/>
    <x v="1"/>
    <n v="10493"/>
    <x v="1"/>
    <x v="3"/>
    <x v="1"/>
    <n v="2025"/>
    <m/>
  </r>
  <r>
    <d v="2025-05-25T00:00:00"/>
    <x v="4"/>
    <x v="1"/>
    <x v="9"/>
    <x v="11"/>
    <x v="1"/>
    <n v="15435"/>
    <x v="3"/>
    <x v="4"/>
    <x v="1"/>
    <n v="2025"/>
    <m/>
  </r>
  <r>
    <d v="2025-05-26T00:00:00"/>
    <x v="4"/>
    <x v="1"/>
    <x v="4"/>
    <x v="4"/>
    <x v="1"/>
    <n v="5852"/>
    <x v="3"/>
    <x v="5"/>
    <x v="0"/>
    <n v="2025"/>
    <m/>
  </r>
  <r>
    <d v="2025-05-27T00:00:00"/>
    <x v="4"/>
    <x v="5"/>
    <x v="0"/>
    <x v="15"/>
    <x v="0"/>
    <n v="114717"/>
    <x v="0"/>
    <x v="6"/>
    <x v="0"/>
    <n v="2025"/>
    <m/>
  </r>
  <r>
    <d v="2025-05-27T00:00:00"/>
    <x v="4"/>
    <x v="1"/>
    <x v="3"/>
    <x v="3"/>
    <x v="1"/>
    <n v="8294"/>
    <x v="2"/>
    <x v="6"/>
    <x v="0"/>
    <n v="2025"/>
    <m/>
  </r>
  <r>
    <d v="2025-05-28T00:00:00"/>
    <x v="4"/>
    <x v="1"/>
    <x v="11"/>
    <x v="14"/>
    <x v="1"/>
    <n v="2966"/>
    <x v="0"/>
    <x v="0"/>
    <x v="0"/>
    <n v="2025"/>
    <m/>
  </r>
  <r>
    <d v="2025-05-29T00:00:00"/>
    <x v="4"/>
    <x v="1"/>
    <x v="2"/>
    <x v="2"/>
    <x v="1"/>
    <n v="4019"/>
    <x v="1"/>
    <x v="1"/>
    <x v="0"/>
    <n v="2025"/>
    <m/>
  </r>
  <r>
    <d v="2025-05-30T00:00:00"/>
    <x v="4"/>
    <x v="1"/>
    <x v="2"/>
    <x v="2"/>
    <x v="1"/>
    <n v="5007"/>
    <x v="2"/>
    <x v="2"/>
    <x v="0"/>
    <n v="2025"/>
    <m/>
  </r>
  <r>
    <d v="2025-05-31T00:00:00"/>
    <x v="4"/>
    <x v="1"/>
    <x v="12"/>
    <x v="16"/>
    <x v="1"/>
    <n v="1418"/>
    <x v="0"/>
    <x v="3"/>
    <x v="1"/>
    <n v="2025"/>
    <m/>
  </r>
  <r>
    <d v="2025-06-01T00:00:00"/>
    <x v="5"/>
    <x v="0"/>
    <x v="0"/>
    <x v="0"/>
    <x v="0"/>
    <n v="450000"/>
    <x v="0"/>
    <x v="4"/>
    <x v="1"/>
    <n v="2025"/>
    <m/>
  </r>
  <r>
    <d v="2025-06-01T00:00:00"/>
    <x v="5"/>
    <x v="1"/>
    <x v="2"/>
    <x v="2"/>
    <x v="1"/>
    <n v="5092"/>
    <x v="2"/>
    <x v="4"/>
    <x v="1"/>
    <n v="2025"/>
    <m/>
  </r>
  <r>
    <d v="2025-06-02T00:00:00"/>
    <x v="5"/>
    <x v="1"/>
    <x v="9"/>
    <x v="11"/>
    <x v="1"/>
    <n v="7021"/>
    <x v="0"/>
    <x v="5"/>
    <x v="0"/>
    <n v="2025"/>
    <m/>
  </r>
  <r>
    <d v="2025-06-03T00:00:00"/>
    <x v="5"/>
    <x v="5"/>
    <x v="0"/>
    <x v="15"/>
    <x v="0"/>
    <n v="57422"/>
    <x v="0"/>
    <x v="6"/>
    <x v="0"/>
    <n v="2025"/>
    <m/>
  </r>
  <r>
    <d v="2025-06-03T00:00:00"/>
    <x v="5"/>
    <x v="1"/>
    <x v="1"/>
    <x v="1"/>
    <x v="1"/>
    <n v="8248"/>
    <x v="3"/>
    <x v="6"/>
    <x v="0"/>
    <n v="2025"/>
    <m/>
  </r>
  <r>
    <d v="2025-06-04T00:00:00"/>
    <x v="5"/>
    <x v="1"/>
    <x v="13"/>
    <x v="17"/>
    <x v="1"/>
    <n v="24467"/>
    <x v="2"/>
    <x v="0"/>
    <x v="0"/>
    <n v="2025"/>
    <m/>
  </r>
  <r>
    <d v="2025-06-05T00:00:00"/>
    <x v="5"/>
    <x v="1"/>
    <x v="10"/>
    <x v="13"/>
    <x v="1"/>
    <n v="6939"/>
    <x v="3"/>
    <x v="1"/>
    <x v="0"/>
    <n v="2025"/>
    <m/>
  </r>
  <r>
    <d v="2025-06-06T00:00:00"/>
    <x v="5"/>
    <x v="1"/>
    <x v="6"/>
    <x v="7"/>
    <x v="1"/>
    <n v="55409"/>
    <x v="1"/>
    <x v="2"/>
    <x v="0"/>
    <n v="2025"/>
    <m/>
  </r>
  <r>
    <d v="2025-06-07T00:00:00"/>
    <x v="5"/>
    <x v="1"/>
    <x v="6"/>
    <x v="7"/>
    <x v="1"/>
    <n v="58299"/>
    <x v="2"/>
    <x v="3"/>
    <x v="1"/>
    <n v="2025"/>
    <m/>
  </r>
  <r>
    <d v="2025-06-08T00:00:00"/>
    <x v="5"/>
    <x v="2"/>
    <x v="0"/>
    <x v="5"/>
    <x v="0"/>
    <n v="164852"/>
    <x v="0"/>
    <x v="4"/>
    <x v="1"/>
    <n v="2025"/>
    <m/>
  </r>
  <r>
    <d v="2025-06-08T00:00:00"/>
    <x v="5"/>
    <x v="1"/>
    <x v="6"/>
    <x v="7"/>
    <x v="1"/>
    <n v="69324"/>
    <x v="1"/>
    <x v="4"/>
    <x v="1"/>
    <n v="2025"/>
    <m/>
  </r>
  <r>
    <d v="2025-06-09T00:00:00"/>
    <x v="5"/>
    <x v="1"/>
    <x v="3"/>
    <x v="3"/>
    <x v="1"/>
    <n v="9009"/>
    <x v="2"/>
    <x v="5"/>
    <x v="0"/>
    <n v="2025"/>
    <m/>
  </r>
  <r>
    <d v="2025-06-10T00:00:00"/>
    <x v="5"/>
    <x v="1"/>
    <x v="4"/>
    <x v="4"/>
    <x v="1"/>
    <n v="2898"/>
    <x v="2"/>
    <x v="6"/>
    <x v="0"/>
    <n v="2025"/>
    <m/>
  </r>
  <r>
    <d v="2025-06-11T00:00:00"/>
    <x v="5"/>
    <x v="3"/>
    <x v="0"/>
    <x v="8"/>
    <x v="0"/>
    <n v="166595"/>
    <x v="0"/>
    <x v="0"/>
    <x v="0"/>
    <n v="2025"/>
    <m/>
  </r>
  <r>
    <d v="2025-06-11T00:00:00"/>
    <x v="5"/>
    <x v="1"/>
    <x v="11"/>
    <x v="14"/>
    <x v="1"/>
    <n v="5610"/>
    <x v="1"/>
    <x v="0"/>
    <x v="0"/>
    <n v="2025"/>
    <m/>
  </r>
  <r>
    <d v="2025-06-12T00:00:00"/>
    <x v="5"/>
    <x v="1"/>
    <x v="2"/>
    <x v="2"/>
    <x v="1"/>
    <n v="7890"/>
    <x v="0"/>
    <x v="1"/>
    <x v="0"/>
    <n v="2025"/>
    <m/>
  </r>
  <r>
    <d v="2025-06-13T00:00:00"/>
    <x v="5"/>
    <x v="1"/>
    <x v="13"/>
    <x v="17"/>
    <x v="1"/>
    <n v="14259"/>
    <x v="2"/>
    <x v="2"/>
    <x v="0"/>
    <n v="2025"/>
    <m/>
  </r>
  <r>
    <d v="2025-06-14T00:00:00"/>
    <x v="5"/>
    <x v="1"/>
    <x v="2"/>
    <x v="2"/>
    <x v="1"/>
    <n v="3792"/>
    <x v="0"/>
    <x v="3"/>
    <x v="1"/>
    <n v="2025"/>
    <m/>
  </r>
  <r>
    <d v="2025-06-15T00:00:00"/>
    <x v="5"/>
    <x v="1"/>
    <x v="6"/>
    <x v="7"/>
    <x v="1"/>
    <n v="79183"/>
    <x v="0"/>
    <x v="4"/>
    <x v="1"/>
    <n v="2025"/>
    <m/>
  </r>
  <r>
    <d v="2025-06-16T00:00:00"/>
    <x v="5"/>
    <x v="1"/>
    <x v="4"/>
    <x v="4"/>
    <x v="1"/>
    <n v="2701"/>
    <x v="1"/>
    <x v="5"/>
    <x v="0"/>
    <n v="2025"/>
    <m/>
  </r>
  <r>
    <d v="2025-06-17T00:00:00"/>
    <x v="5"/>
    <x v="4"/>
    <x v="0"/>
    <x v="12"/>
    <x v="0"/>
    <n v="167768"/>
    <x v="0"/>
    <x v="6"/>
    <x v="0"/>
    <n v="2025"/>
    <m/>
  </r>
  <r>
    <d v="2025-06-17T00:00:00"/>
    <x v="5"/>
    <x v="1"/>
    <x v="4"/>
    <x v="4"/>
    <x v="1"/>
    <n v="5655"/>
    <x v="1"/>
    <x v="6"/>
    <x v="0"/>
    <n v="2025"/>
    <m/>
  </r>
  <r>
    <d v="2025-06-18T00:00:00"/>
    <x v="5"/>
    <x v="1"/>
    <x v="5"/>
    <x v="6"/>
    <x v="1"/>
    <n v="3437"/>
    <x v="1"/>
    <x v="0"/>
    <x v="0"/>
    <n v="2025"/>
    <m/>
  </r>
  <r>
    <d v="2025-06-19T00:00:00"/>
    <x v="5"/>
    <x v="4"/>
    <x v="0"/>
    <x v="12"/>
    <x v="0"/>
    <n v="173325"/>
    <x v="0"/>
    <x v="1"/>
    <x v="0"/>
    <n v="2025"/>
    <m/>
  </r>
  <r>
    <d v="2025-06-19T00:00:00"/>
    <x v="5"/>
    <x v="1"/>
    <x v="3"/>
    <x v="3"/>
    <x v="1"/>
    <n v="6889"/>
    <x v="2"/>
    <x v="1"/>
    <x v="0"/>
    <n v="2025"/>
    <m/>
  </r>
  <r>
    <d v="2025-06-20T00:00:00"/>
    <x v="5"/>
    <x v="1"/>
    <x v="7"/>
    <x v="9"/>
    <x v="1"/>
    <n v="3882"/>
    <x v="2"/>
    <x v="2"/>
    <x v="0"/>
    <n v="2025"/>
    <m/>
  </r>
  <r>
    <d v="2025-06-21T00:00:00"/>
    <x v="5"/>
    <x v="3"/>
    <x v="0"/>
    <x v="8"/>
    <x v="0"/>
    <n v="62127"/>
    <x v="0"/>
    <x v="3"/>
    <x v="1"/>
    <n v="2025"/>
    <m/>
  </r>
  <r>
    <d v="2025-06-21T00:00:00"/>
    <x v="5"/>
    <x v="1"/>
    <x v="13"/>
    <x v="17"/>
    <x v="1"/>
    <n v="19592"/>
    <x v="0"/>
    <x v="3"/>
    <x v="1"/>
    <n v="2025"/>
    <m/>
  </r>
  <r>
    <d v="2025-06-22T00:00:00"/>
    <x v="5"/>
    <x v="1"/>
    <x v="6"/>
    <x v="7"/>
    <x v="1"/>
    <n v="53340"/>
    <x v="3"/>
    <x v="4"/>
    <x v="1"/>
    <n v="2025"/>
    <m/>
  </r>
  <r>
    <d v="2025-06-23T00:00:00"/>
    <x v="5"/>
    <x v="1"/>
    <x v="11"/>
    <x v="14"/>
    <x v="1"/>
    <n v="2517"/>
    <x v="1"/>
    <x v="5"/>
    <x v="0"/>
    <n v="2025"/>
    <m/>
  </r>
  <r>
    <d v="2025-06-24T00:00:00"/>
    <x v="5"/>
    <x v="1"/>
    <x v="8"/>
    <x v="10"/>
    <x v="1"/>
    <n v="9874"/>
    <x v="2"/>
    <x v="6"/>
    <x v="0"/>
    <n v="2025"/>
    <m/>
  </r>
  <r>
    <d v="2025-06-25T00:00:00"/>
    <x v="5"/>
    <x v="4"/>
    <x v="0"/>
    <x v="12"/>
    <x v="0"/>
    <n v="68805"/>
    <x v="0"/>
    <x v="0"/>
    <x v="0"/>
    <n v="2025"/>
    <m/>
  </r>
  <r>
    <d v="2025-06-25T00:00:00"/>
    <x v="5"/>
    <x v="1"/>
    <x v="8"/>
    <x v="10"/>
    <x v="1"/>
    <n v="12114"/>
    <x v="2"/>
    <x v="0"/>
    <x v="0"/>
    <n v="2025"/>
    <m/>
  </r>
  <r>
    <d v="2025-06-26T00:00:00"/>
    <x v="5"/>
    <x v="1"/>
    <x v="13"/>
    <x v="17"/>
    <x v="1"/>
    <n v="18380"/>
    <x v="2"/>
    <x v="1"/>
    <x v="0"/>
    <n v="2025"/>
    <m/>
  </r>
  <r>
    <d v="2025-06-27T00:00:00"/>
    <x v="5"/>
    <x v="1"/>
    <x v="6"/>
    <x v="7"/>
    <x v="1"/>
    <n v="73382"/>
    <x v="2"/>
    <x v="2"/>
    <x v="0"/>
    <n v="2025"/>
    <m/>
  </r>
  <r>
    <d v="2025-06-28T00:00:00"/>
    <x v="5"/>
    <x v="1"/>
    <x v="11"/>
    <x v="14"/>
    <x v="1"/>
    <n v="2374"/>
    <x v="0"/>
    <x v="3"/>
    <x v="1"/>
    <n v="2025"/>
    <m/>
  </r>
  <r>
    <d v="2025-06-29T00:00:00"/>
    <x v="5"/>
    <x v="1"/>
    <x v="4"/>
    <x v="4"/>
    <x v="1"/>
    <n v="9323"/>
    <x v="1"/>
    <x v="4"/>
    <x v="1"/>
    <n v="2025"/>
    <m/>
  </r>
  <r>
    <d v="2025-06-30T00:00:00"/>
    <x v="5"/>
    <x v="1"/>
    <x v="7"/>
    <x v="9"/>
    <x v="1"/>
    <n v="4016"/>
    <x v="3"/>
    <x v="5"/>
    <x v="0"/>
    <n v="2025"/>
    <m/>
  </r>
  <r>
    <d v="2025-07-01T00:00:00"/>
    <x v="6"/>
    <x v="0"/>
    <x v="0"/>
    <x v="0"/>
    <x v="0"/>
    <n v="450000"/>
    <x v="0"/>
    <x v="6"/>
    <x v="0"/>
    <n v="2025"/>
    <m/>
  </r>
  <r>
    <d v="2025-07-01T00:00:00"/>
    <x v="6"/>
    <x v="1"/>
    <x v="7"/>
    <x v="9"/>
    <x v="1"/>
    <n v="2106"/>
    <x v="0"/>
    <x v="6"/>
    <x v="0"/>
    <n v="2025"/>
    <m/>
  </r>
  <r>
    <d v="2025-07-02T00:00:00"/>
    <x v="6"/>
    <x v="1"/>
    <x v="8"/>
    <x v="10"/>
    <x v="1"/>
    <n v="19770"/>
    <x v="0"/>
    <x v="0"/>
    <x v="0"/>
    <n v="2025"/>
    <m/>
  </r>
  <r>
    <d v="2025-07-03T00:00:00"/>
    <x v="6"/>
    <x v="1"/>
    <x v="10"/>
    <x v="13"/>
    <x v="1"/>
    <n v="3211"/>
    <x v="3"/>
    <x v="1"/>
    <x v="0"/>
    <n v="2025"/>
    <m/>
  </r>
  <r>
    <d v="2025-07-04T00:00:00"/>
    <x v="6"/>
    <x v="2"/>
    <x v="0"/>
    <x v="5"/>
    <x v="0"/>
    <n v="132496"/>
    <x v="0"/>
    <x v="2"/>
    <x v="0"/>
    <n v="2025"/>
    <m/>
  </r>
  <r>
    <d v="2025-07-04T00:00:00"/>
    <x v="6"/>
    <x v="1"/>
    <x v="12"/>
    <x v="16"/>
    <x v="1"/>
    <n v="3951"/>
    <x v="2"/>
    <x v="2"/>
    <x v="0"/>
    <n v="2025"/>
    <m/>
  </r>
  <r>
    <d v="2025-07-05T00:00:00"/>
    <x v="6"/>
    <x v="1"/>
    <x v="12"/>
    <x v="16"/>
    <x v="1"/>
    <n v="3963"/>
    <x v="3"/>
    <x v="3"/>
    <x v="1"/>
    <n v="2025"/>
    <m/>
  </r>
  <r>
    <d v="2025-07-06T00:00:00"/>
    <x v="6"/>
    <x v="1"/>
    <x v="9"/>
    <x v="11"/>
    <x v="1"/>
    <n v="17453"/>
    <x v="3"/>
    <x v="4"/>
    <x v="1"/>
    <n v="2025"/>
    <m/>
  </r>
  <r>
    <d v="2025-07-07T00:00:00"/>
    <x v="6"/>
    <x v="4"/>
    <x v="0"/>
    <x v="12"/>
    <x v="0"/>
    <n v="110996"/>
    <x v="0"/>
    <x v="5"/>
    <x v="0"/>
    <n v="2025"/>
    <m/>
  </r>
  <r>
    <d v="2025-07-07T00:00:00"/>
    <x v="6"/>
    <x v="1"/>
    <x v="6"/>
    <x v="7"/>
    <x v="1"/>
    <n v="70567"/>
    <x v="1"/>
    <x v="5"/>
    <x v="0"/>
    <n v="2025"/>
    <m/>
  </r>
  <r>
    <d v="2025-07-08T00:00:00"/>
    <x v="6"/>
    <x v="1"/>
    <x v="5"/>
    <x v="6"/>
    <x v="1"/>
    <n v="8039"/>
    <x v="3"/>
    <x v="6"/>
    <x v="0"/>
    <n v="2025"/>
    <m/>
  </r>
  <r>
    <d v="2025-07-09T00:00:00"/>
    <x v="6"/>
    <x v="1"/>
    <x v="9"/>
    <x v="11"/>
    <x v="1"/>
    <n v="13090"/>
    <x v="3"/>
    <x v="0"/>
    <x v="0"/>
    <n v="2025"/>
    <m/>
  </r>
  <r>
    <d v="2025-07-10T00:00:00"/>
    <x v="6"/>
    <x v="1"/>
    <x v="12"/>
    <x v="16"/>
    <x v="1"/>
    <n v="1073"/>
    <x v="0"/>
    <x v="1"/>
    <x v="0"/>
    <n v="2025"/>
    <m/>
  </r>
  <r>
    <d v="2025-07-11T00:00:00"/>
    <x v="6"/>
    <x v="4"/>
    <x v="0"/>
    <x v="12"/>
    <x v="0"/>
    <n v="73971"/>
    <x v="0"/>
    <x v="2"/>
    <x v="0"/>
    <n v="2025"/>
    <m/>
  </r>
  <r>
    <d v="2025-07-11T00:00:00"/>
    <x v="6"/>
    <x v="1"/>
    <x v="1"/>
    <x v="1"/>
    <x v="1"/>
    <n v="9078"/>
    <x v="3"/>
    <x v="2"/>
    <x v="0"/>
    <n v="2025"/>
    <m/>
  </r>
  <r>
    <d v="2025-07-12T00:00:00"/>
    <x v="6"/>
    <x v="4"/>
    <x v="0"/>
    <x v="12"/>
    <x v="0"/>
    <n v="106536"/>
    <x v="0"/>
    <x v="3"/>
    <x v="1"/>
    <n v="2025"/>
    <m/>
  </r>
  <r>
    <d v="2025-07-12T00:00:00"/>
    <x v="6"/>
    <x v="1"/>
    <x v="2"/>
    <x v="2"/>
    <x v="1"/>
    <n v="5540"/>
    <x v="0"/>
    <x v="3"/>
    <x v="1"/>
    <n v="2025"/>
    <m/>
  </r>
  <r>
    <d v="2025-07-13T00:00:00"/>
    <x v="6"/>
    <x v="1"/>
    <x v="3"/>
    <x v="3"/>
    <x v="1"/>
    <n v="3839"/>
    <x v="1"/>
    <x v="4"/>
    <x v="1"/>
    <n v="2025"/>
    <m/>
  </r>
  <r>
    <d v="2025-07-14T00:00:00"/>
    <x v="6"/>
    <x v="1"/>
    <x v="1"/>
    <x v="1"/>
    <x v="1"/>
    <n v="5798"/>
    <x v="1"/>
    <x v="5"/>
    <x v="0"/>
    <n v="2025"/>
    <m/>
  </r>
  <r>
    <d v="2025-07-15T00:00:00"/>
    <x v="6"/>
    <x v="1"/>
    <x v="8"/>
    <x v="10"/>
    <x v="1"/>
    <n v="20475"/>
    <x v="0"/>
    <x v="6"/>
    <x v="0"/>
    <n v="2025"/>
    <m/>
  </r>
  <r>
    <d v="2025-07-16T00:00:00"/>
    <x v="6"/>
    <x v="3"/>
    <x v="0"/>
    <x v="8"/>
    <x v="0"/>
    <n v="151875"/>
    <x v="0"/>
    <x v="0"/>
    <x v="0"/>
    <n v="2025"/>
    <m/>
  </r>
  <r>
    <d v="2025-07-16T00:00:00"/>
    <x v="6"/>
    <x v="1"/>
    <x v="12"/>
    <x v="16"/>
    <x v="1"/>
    <n v="1308"/>
    <x v="2"/>
    <x v="0"/>
    <x v="0"/>
    <n v="2025"/>
    <m/>
  </r>
  <r>
    <d v="2025-07-17T00:00:00"/>
    <x v="6"/>
    <x v="1"/>
    <x v="3"/>
    <x v="3"/>
    <x v="1"/>
    <n v="10175"/>
    <x v="1"/>
    <x v="1"/>
    <x v="0"/>
    <n v="2025"/>
    <m/>
  </r>
  <r>
    <d v="2025-07-18T00:00:00"/>
    <x v="6"/>
    <x v="1"/>
    <x v="12"/>
    <x v="16"/>
    <x v="1"/>
    <n v="3623"/>
    <x v="3"/>
    <x v="2"/>
    <x v="0"/>
    <n v="2025"/>
    <m/>
  </r>
  <r>
    <d v="2025-07-19T00:00:00"/>
    <x v="6"/>
    <x v="1"/>
    <x v="8"/>
    <x v="10"/>
    <x v="1"/>
    <n v="8627"/>
    <x v="0"/>
    <x v="3"/>
    <x v="1"/>
    <n v="2025"/>
    <m/>
  </r>
  <r>
    <d v="2025-07-20T00:00:00"/>
    <x v="6"/>
    <x v="1"/>
    <x v="3"/>
    <x v="3"/>
    <x v="1"/>
    <n v="11979"/>
    <x v="1"/>
    <x v="4"/>
    <x v="1"/>
    <n v="2025"/>
    <m/>
  </r>
  <r>
    <d v="2025-07-21T00:00:00"/>
    <x v="6"/>
    <x v="1"/>
    <x v="1"/>
    <x v="1"/>
    <x v="1"/>
    <n v="4931"/>
    <x v="1"/>
    <x v="5"/>
    <x v="0"/>
    <n v="2025"/>
    <m/>
  </r>
  <r>
    <d v="2025-07-22T00:00:00"/>
    <x v="6"/>
    <x v="1"/>
    <x v="11"/>
    <x v="14"/>
    <x v="1"/>
    <n v="3744"/>
    <x v="2"/>
    <x v="6"/>
    <x v="0"/>
    <n v="2025"/>
    <m/>
  </r>
  <r>
    <d v="2025-07-23T00:00:00"/>
    <x v="6"/>
    <x v="1"/>
    <x v="6"/>
    <x v="7"/>
    <x v="1"/>
    <n v="50077"/>
    <x v="1"/>
    <x v="0"/>
    <x v="0"/>
    <n v="2025"/>
    <m/>
  </r>
  <r>
    <d v="2025-07-24T00:00:00"/>
    <x v="6"/>
    <x v="1"/>
    <x v="13"/>
    <x v="17"/>
    <x v="1"/>
    <n v="15686"/>
    <x v="0"/>
    <x v="1"/>
    <x v="0"/>
    <n v="2025"/>
    <m/>
  </r>
  <r>
    <d v="2025-07-25T00:00:00"/>
    <x v="6"/>
    <x v="1"/>
    <x v="4"/>
    <x v="4"/>
    <x v="1"/>
    <n v="2026"/>
    <x v="2"/>
    <x v="2"/>
    <x v="0"/>
    <n v="2025"/>
    <m/>
  </r>
  <r>
    <d v="2025-07-26T00:00:00"/>
    <x v="6"/>
    <x v="1"/>
    <x v="11"/>
    <x v="14"/>
    <x v="1"/>
    <n v="5343"/>
    <x v="0"/>
    <x v="3"/>
    <x v="1"/>
    <n v="2025"/>
    <m/>
  </r>
  <r>
    <d v="2025-07-27T00:00:00"/>
    <x v="6"/>
    <x v="1"/>
    <x v="9"/>
    <x v="11"/>
    <x v="1"/>
    <n v="8552"/>
    <x v="2"/>
    <x v="4"/>
    <x v="1"/>
    <n v="2025"/>
    <m/>
  </r>
  <r>
    <d v="2025-07-28T00:00:00"/>
    <x v="6"/>
    <x v="1"/>
    <x v="9"/>
    <x v="11"/>
    <x v="1"/>
    <n v="15010"/>
    <x v="2"/>
    <x v="5"/>
    <x v="0"/>
    <n v="2025"/>
    <m/>
  </r>
  <r>
    <d v="2025-07-29T00:00:00"/>
    <x v="6"/>
    <x v="4"/>
    <x v="0"/>
    <x v="12"/>
    <x v="0"/>
    <n v="69370"/>
    <x v="0"/>
    <x v="6"/>
    <x v="0"/>
    <n v="2025"/>
    <m/>
  </r>
  <r>
    <d v="2025-07-29T00:00:00"/>
    <x v="6"/>
    <x v="1"/>
    <x v="5"/>
    <x v="6"/>
    <x v="1"/>
    <n v="6939"/>
    <x v="3"/>
    <x v="6"/>
    <x v="0"/>
    <n v="2025"/>
    <m/>
  </r>
  <r>
    <d v="2025-07-30T00:00:00"/>
    <x v="6"/>
    <x v="4"/>
    <x v="0"/>
    <x v="12"/>
    <x v="0"/>
    <n v="80249"/>
    <x v="0"/>
    <x v="0"/>
    <x v="0"/>
    <n v="2025"/>
    <m/>
  </r>
  <r>
    <d v="2025-07-30T00:00:00"/>
    <x v="6"/>
    <x v="1"/>
    <x v="11"/>
    <x v="14"/>
    <x v="1"/>
    <n v="5423"/>
    <x v="0"/>
    <x v="0"/>
    <x v="0"/>
    <n v="2025"/>
    <m/>
  </r>
  <r>
    <d v="2025-07-31T00:00:00"/>
    <x v="6"/>
    <x v="1"/>
    <x v="4"/>
    <x v="4"/>
    <x v="1"/>
    <n v="11333"/>
    <x v="3"/>
    <x v="1"/>
    <x v="0"/>
    <n v="2025"/>
    <m/>
  </r>
  <r>
    <d v="2025-08-01T00:00:00"/>
    <x v="7"/>
    <x v="0"/>
    <x v="0"/>
    <x v="0"/>
    <x v="0"/>
    <n v="450000"/>
    <x v="0"/>
    <x v="2"/>
    <x v="0"/>
    <n v="2025"/>
    <m/>
  </r>
  <r>
    <d v="2025-08-01T00:00:00"/>
    <x v="7"/>
    <x v="1"/>
    <x v="11"/>
    <x v="14"/>
    <x v="1"/>
    <n v="3152"/>
    <x v="0"/>
    <x v="2"/>
    <x v="0"/>
    <n v="2025"/>
    <m/>
  </r>
  <r>
    <d v="2025-08-02T00:00:00"/>
    <x v="7"/>
    <x v="1"/>
    <x v="10"/>
    <x v="13"/>
    <x v="1"/>
    <n v="9770"/>
    <x v="3"/>
    <x v="3"/>
    <x v="1"/>
    <n v="2025"/>
    <m/>
  </r>
  <r>
    <d v="2025-08-03T00:00:00"/>
    <x v="7"/>
    <x v="1"/>
    <x v="2"/>
    <x v="2"/>
    <x v="1"/>
    <n v="1259"/>
    <x v="2"/>
    <x v="4"/>
    <x v="1"/>
    <n v="2025"/>
    <m/>
  </r>
  <r>
    <d v="2025-08-04T00:00:00"/>
    <x v="7"/>
    <x v="2"/>
    <x v="0"/>
    <x v="5"/>
    <x v="0"/>
    <n v="166869"/>
    <x v="0"/>
    <x v="5"/>
    <x v="0"/>
    <n v="2025"/>
    <m/>
  </r>
  <r>
    <d v="2025-08-04T00:00:00"/>
    <x v="7"/>
    <x v="1"/>
    <x v="2"/>
    <x v="2"/>
    <x v="1"/>
    <n v="2556"/>
    <x v="0"/>
    <x v="5"/>
    <x v="0"/>
    <n v="2025"/>
    <m/>
  </r>
  <r>
    <d v="2025-08-05T00:00:00"/>
    <x v="7"/>
    <x v="1"/>
    <x v="5"/>
    <x v="6"/>
    <x v="1"/>
    <n v="6964"/>
    <x v="1"/>
    <x v="6"/>
    <x v="0"/>
    <n v="2025"/>
    <m/>
  </r>
  <r>
    <d v="2025-08-06T00:00:00"/>
    <x v="7"/>
    <x v="1"/>
    <x v="6"/>
    <x v="7"/>
    <x v="1"/>
    <n v="59241"/>
    <x v="0"/>
    <x v="0"/>
    <x v="0"/>
    <n v="2025"/>
    <m/>
  </r>
  <r>
    <d v="2025-08-07T00:00:00"/>
    <x v="7"/>
    <x v="1"/>
    <x v="6"/>
    <x v="7"/>
    <x v="1"/>
    <n v="67630"/>
    <x v="2"/>
    <x v="1"/>
    <x v="0"/>
    <n v="2025"/>
    <m/>
  </r>
  <r>
    <d v="2025-08-08T00:00:00"/>
    <x v="7"/>
    <x v="1"/>
    <x v="8"/>
    <x v="10"/>
    <x v="1"/>
    <n v="16754"/>
    <x v="2"/>
    <x v="2"/>
    <x v="0"/>
    <n v="2025"/>
    <m/>
  </r>
  <r>
    <d v="2025-08-09T00:00:00"/>
    <x v="7"/>
    <x v="1"/>
    <x v="11"/>
    <x v="14"/>
    <x v="1"/>
    <n v="4707"/>
    <x v="2"/>
    <x v="3"/>
    <x v="1"/>
    <n v="2025"/>
    <m/>
  </r>
  <r>
    <d v="2025-08-10T00:00:00"/>
    <x v="7"/>
    <x v="1"/>
    <x v="1"/>
    <x v="1"/>
    <x v="1"/>
    <n v="7896"/>
    <x v="2"/>
    <x v="4"/>
    <x v="1"/>
    <n v="2025"/>
    <m/>
  </r>
  <r>
    <d v="2025-08-11T00:00:00"/>
    <x v="7"/>
    <x v="1"/>
    <x v="11"/>
    <x v="14"/>
    <x v="1"/>
    <n v="4251"/>
    <x v="2"/>
    <x v="5"/>
    <x v="0"/>
    <n v="2025"/>
    <m/>
  </r>
  <r>
    <d v="2025-08-12T00:00:00"/>
    <x v="7"/>
    <x v="1"/>
    <x v="1"/>
    <x v="1"/>
    <x v="1"/>
    <n v="3964"/>
    <x v="1"/>
    <x v="6"/>
    <x v="0"/>
    <n v="2025"/>
    <m/>
  </r>
  <r>
    <d v="2025-08-13T00:00:00"/>
    <x v="7"/>
    <x v="1"/>
    <x v="2"/>
    <x v="2"/>
    <x v="1"/>
    <n v="2223"/>
    <x v="0"/>
    <x v="0"/>
    <x v="0"/>
    <n v="2025"/>
    <m/>
  </r>
  <r>
    <d v="2025-08-14T00:00:00"/>
    <x v="7"/>
    <x v="1"/>
    <x v="9"/>
    <x v="11"/>
    <x v="1"/>
    <n v="13855"/>
    <x v="3"/>
    <x v="1"/>
    <x v="0"/>
    <n v="2025"/>
    <m/>
  </r>
  <r>
    <d v="2025-08-15T00:00:00"/>
    <x v="7"/>
    <x v="1"/>
    <x v="2"/>
    <x v="2"/>
    <x v="1"/>
    <n v="3213"/>
    <x v="3"/>
    <x v="2"/>
    <x v="0"/>
    <n v="2025"/>
    <m/>
  </r>
  <r>
    <d v="2025-08-16T00:00:00"/>
    <x v="7"/>
    <x v="1"/>
    <x v="2"/>
    <x v="2"/>
    <x v="1"/>
    <n v="1347"/>
    <x v="2"/>
    <x v="3"/>
    <x v="1"/>
    <n v="2025"/>
    <m/>
  </r>
  <r>
    <d v="2025-08-17T00:00:00"/>
    <x v="7"/>
    <x v="1"/>
    <x v="8"/>
    <x v="10"/>
    <x v="1"/>
    <n v="18609"/>
    <x v="1"/>
    <x v="4"/>
    <x v="1"/>
    <n v="2025"/>
    <m/>
  </r>
  <r>
    <d v="2025-08-18T00:00:00"/>
    <x v="7"/>
    <x v="1"/>
    <x v="3"/>
    <x v="3"/>
    <x v="1"/>
    <n v="9460"/>
    <x v="0"/>
    <x v="5"/>
    <x v="0"/>
    <n v="2025"/>
    <m/>
  </r>
  <r>
    <d v="2025-08-19T00:00:00"/>
    <x v="7"/>
    <x v="1"/>
    <x v="5"/>
    <x v="6"/>
    <x v="1"/>
    <n v="6635"/>
    <x v="3"/>
    <x v="6"/>
    <x v="0"/>
    <n v="2025"/>
    <m/>
  </r>
  <r>
    <d v="2025-08-20T00:00:00"/>
    <x v="7"/>
    <x v="3"/>
    <x v="0"/>
    <x v="8"/>
    <x v="0"/>
    <n v="162241"/>
    <x v="0"/>
    <x v="0"/>
    <x v="0"/>
    <n v="2025"/>
    <m/>
  </r>
  <r>
    <d v="2025-08-20T00:00:00"/>
    <x v="7"/>
    <x v="1"/>
    <x v="3"/>
    <x v="3"/>
    <x v="1"/>
    <n v="7312"/>
    <x v="3"/>
    <x v="0"/>
    <x v="0"/>
    <n v="2025"/>
    <m/>
  </r>
  <r>
    <d v="2025-08-21T00:00:00"/>
    <x v="7"/>
    <x v="5"/>
    <x v="0"/>
    <x v="15"/>
    <x v="0"/>
    <n v="120054"/>
    <x v="0"/>
    <x v="1"/>
    <x v="0"/>
    <n v="2025"/>
    <m/>
  </r>
  <r>
    <d v="2025-08-21T00:00:00"/>
    <x v="7"/>
    <x v="1"/>
    <x v="3"/>
    <x v="3"/>
    <x v="1"/>
    <n v="9072"/>
    <x v="1"/>
    <x v="1"/>
    <x v="0"/>
    <n v="2025"/>
    <m/>
  </r>
  <r>
    <d v="2025-08-22T00:00:00"/>
    <x v="7"/>
    <x v="1"/>
    <x v="9"/>
    <x v="11"/>
    <x v="1"/>
    <n v="15937"/>
    <x v="0"/>
    <x v="2"/>
    <x v="0"/>
    <n v="2025"/>
    <m/>
  </r>
  <r>
    <d v="2025-08-23T00:00:00"/>
    <x v="7"/>
    <x v="1"/>
    <x v="7"/>
    <x v="9"/>
    <x v="1"/>
    <n v="5982"/>
    <x v="0"/>
    <x v="3"/>
    <x v="1"/>
    <n v="2025"/>
    <m/>
  </r>
  <r>
    <d v="2025-08-24T00:00:00"/>
    <x v="7"/>
    <x v="3"/>
    <x v="0"/>
    <x v="8"/>
    <x v="0"/>
    <n v="97696"/>
    <x v="0"/>
    <x v="4"/>
    <x v="1"/>
    <n v="2025"/>
    <m/>
  </r>
  <r>
    <d v="2025-08-24T00:00:00"/>
    <x v="7"/>
    <x v="1"/>
    <x v="13"/>
    <x v="17"/>
    <x v="1"/>
    <n v="14803"/>
    <x v="2"/>
    <x v="4"/>
    <x v="1"/>
    <n v="2025"/>
    <m/>
  </r>
  <r>
    <d v="2025-08-25T00:00:00"/>
    <x v="7"/>
    <x v="1"/>
    <x v="13"/>
    <x v="17"/>
    <x v="1"/>
    <n v="21762"/>
    <x v="3"/>
    <x v="5"/>
    <x v="0"/>
    <n v="2025"/>
    <m/>
  </r>
  <r>
    <d v="2025-08-26T00:00:00"/>
    <x v="7"/>
    <x v="1"/>
    <x v="11"/>
    <x v="14"/>
    <x v="1"/>
    <n v="2226"/>
    <x v="2"/>
    <x v="6"/>
    <x v="0"/>
    <n v="2025"/>
    <m/>
  </r>
  <r>
    <d v="2025-08-27T00:00:00"/>
    <x v="7"/>
    <x v="1"/>
    <x v="6"/>
    <x v="7"/>
    <x v="1"/>
    <n v="76851"/>
    <x v="1"/>
    <x v="0"/>
    <x v="0"/>
    <n v="2025"/>
    <m/>
  </r>
  <r>
    <d v="2025-08-28T00:00:00"/>
    <x v="7"/>
    <x v="1"/>
    <x v="4"/>
    <x v="4"/>
    <x v="1"/>
    <n v="3349"/>
    <x v="1"/>
    <x v="1"/>
    <x v="0"/>
    <n v="2025"/>
    <m/>
  </r>
  <r>
    <d v="2025-08-29T00:00:00"/>
    <x v="7"/>
    <x v="1"/>
    <x v="8"/>
    <x v="10"/>
    <x v="1"/>
    <n v="6362"/>
    <x v="3"/>
    <x v="2"/>
    <x v="0"/>
    <n v="2025"/>
    <m/>
  </r>
  <r>
    <d v="2025-08-30T00:00:00"/>
    <x v="7"/>
    <x v="1"/>
    <x v="13"/>
    <x v="17"/>
    <x v="1"/>
    <n v="18618"/>
    <x v="3"/>
    <x v="3"/>
    <x v="1"/>
    <n v="2025"/>
    <m/>
  </r>
  <r>
    <d v="2025-08-31T00:00:00"/>
    <x v="7"/>
    <x v="1"/>
    <x v="12"/>
    <x v="16"/>
    <x v="1"/>
    <n v="3412"/>
    <x v="2"/>
    <x v="4"/>
    <x v="1"/>
    <n v="2025"/>
    <m/>
  </r>
  <r>
    <d v="2025-09-01T00:00:00"/>
    <x v="8"/>
    <x v="0"/>
    <x v="0"/>
    <x v="0"/>
    <x v="0"/>
    <n v="450000"/>
    <x v="0"/>
    <x v="5"/>
    <x v="0"/>
    <n v="2025"/>
    <m/>
  </r>
  <r>
    <d v="2025-09-01T00:00:00"/>
    <x v="8"/>
    <x v="1"/>
    <x v="9"/>
    <x v="11"/>
    <x v="1"/>
    <n v="9747"/>
    <x v="0"/>
    <x v="5"/>
    <x v="0"/>
    <n v="2025"/>
    <m/>
  </r>
  <r>
    <d v="2025-09-02T00:00:00"/>
    <x v="8"/>
    <x v="1"/>
    <x v="4"/>
    <x v="4"/>
    <x v="1"/>
    <n v="2629"/>
    <x v="0"/>
    <x v="6"/>
    <x v="0"/>
    <n v="2025"/>
    <m/>
  </r>
  <r>
    <d v="2025-09-03T00:00:00"/>
    <x v="8"/>
    <x v="1"/>
    <x v="3"/>
    <x v="3"/>
    <x v="1"/>
    <n v="11918"/>
    <x v="1"/>
    <x v="0"/>
    <x v="0"/>
    <n v="2025"/>
    <m/>
  </r>
  <r>
    <d v="2025-09-04T00:00:00"/>
    <x v="8"/>
    <x v="1"/>
    <x v="9"/>
    <x v="11"/>
    <x v="1"/>
    <n v="15001"/>
    <x v="2"/>
    <x v="1"/>
    <x v="0"/>
    <n v="2025"/>
    <m/>
  </r>
  <r>
    <d v="2025-09-05T00:00:00"/>
    <x v="8"/>
    <x v="1"/>
    <x v="1"/>
    <x v="1"/>
    <x v="1"/>
    <n v="3146"/>
    <x v="0"/>
    <x v="2"/>
    <x v="0"/>
    <n v="2025"/>
    <m/>
  </r>
  <r>
    <d v="2025-09-06T00:00:00"/>
    <x v="8"/>
    <x v="1"/>
    <x v="10"/>
    <x v="13"/>
    <x v="1"/>
    <n v="8001"/>
    <x v="2"/>
    <x v="3"/>
    <x v="1"/>
    <n v="2025"/>
    <m/>
  </r>
  <r>
    <d v="2025-09-07T00:00:00"/>
    <x v="8"/>
    <x v="1"/>
    <x v="9"/>
    <x v="11"/>
    <x v="1"/>
    <n v="16039"/>
    <x v="1"/>
    <x v="4"/>
    <x v="1"/>
    <n v="2025"/>
    <m/>
  </r>
  <r>
    <d v="2025-09-08T00:00:00"/>
    <x v="8"/>
    <x v="1"/>
    <x v="6"/>
    <x v="7"/>
    <x v="1"/>
    <n v="68292"/>
    <x v="0"/>
    <x v="5"/>
    <x v="0"/>
    <n v="2025"/>
    <m/>
  </r>
  <r>
    <d v="2025-09-09T00:00:00"/>
    <x v="8"/>
    <x v="1"/>
    <x v="3"/>
    <x v="3"/>
    <x v="1"/>
    <n v="7340"/>
    <x v="3"/>
    <x v="6"/>
    <x v="0"/>
    <n v="2025"/>
    <m/>
  </r>
  <r>
    <d v="2025-09-10T00:00:00"/>
    <x v="8"/>
    <x v="1"/>
    <x v="6"/>
    <x v="7"/>
    <x v="1"/>
    <n v="77053"/>
    <x v="2"/>
    <x v="0"/>
    <x v="0"/>
    <n v="2025"/>
    <m/>
  </r>
  <r>
    <d v="2025-09-11T00:00:00"/>
    <x v="8"/>
    <x v="1"/>
    <x v="7"/>
    <x v="9"/>
    <x v="1"/>
    <n v="5268"/>
    <x v="3"/>
    <x v="1"/>
    <x v="0"/>
    <n v="2025"/>
    <m/>
  </r>
  <r>
    <d v="2025-09-12T00:00:00"/>
    <x v="8"/>
    <x v="1"/>
    <x v="2"/>
    <x v="2"/>
    <x v="1"/>
    <n v="3919"/>
    <x v="1"/>
    <x v="2"/>
    <x v="0"/>
    <n v="2025"/>
    <m/>
  </r>
  <r>
    <d v="2025-09-13T00:00:00"/>
    <x v="8"/>
    <x v="1"/>
    <x v="7"/>
    <x v="9"/>
    <x v="1"/>
    <n v="4584"/>
    <x v="1"/>
    <x v="3"/>
    <x v="1"/>
    <n v="2025"/>
    <m/>
  </r>
  <r>
    <d v="2025-09-14T00:00:00"/>
    <x v="8"/>
    <x v="1"/>
    <x v="6"/>
    <x v="7"/>
    <x v="1"/>
    <n v="79092"/>
    <x v="2"/>
    <x v="4"/>
    <x v="1"/>
    <n v="2025"/>
    <m/>
  </r>
  <r>
    <d v="2025-09-15T00:00:00"/>
    <x v="8"/>
    <x v="1"/>
    <x v="6"/>
    <x v="7"/>
    <x v="1"/>
    <n v="66780"/>
    <x v="2"/>
    <x v="5"/>
    <x v="0"/>
    <n v="2025"/>
    <m/>
  </r>
  <r>
    <d v="2025-09-16T00:00:00"/>
    <x v="8"/>
    <x v="1"/>
    <x v="7"/>
    <x v="9"/>
    <x v="1"/>
    <n v="6948"/>
    <x v="2"/>
    <x v="6"/>
    <x v="0"/>
    <n v="2025"/>
    <m/>
  </r>
  <r>
    <d v="2025-09-17T00:00:00"/>
    <x v="8"/>
    <x v="1"/>
    <x v="6"/>
    <x v="7"/>
    <x v="1"/>
    <n v="74250"/>
    <x v="2"/>
    <x v="0"/>
    <x v="0"/>
    <n v="2025"/>
    <m/>
  </r>
  <r>
    <d v="2025-09-18T00:00:00"/>
    <x v="8"/>
    <x v="1"/>
    <x v="8"/>
    <x v="10"/>
    <x v="1"/>
    <n v="5942"/>
    <x v="3"/>
    <x v="1"/>
    <x v="0"/>
    <n v="2025"/>
    <m/>
  </r>
  <r>
    <d v="2025-09-19T00:00:00"/>
    <x v="8"/>
    <x v="5"/>
    <x v="0"/>
    <x v="15"/>
    <x v="0"/>
    <n v="141415"/>
    <x v="0"/>
    <x v="2"/>
    <x v="0"/>
    <n v="2025"/>
    <m/>
  </r>
  <r>
    <d v="2025-09-19T00:00:00"/>
    <x v="8"/>
    <x v="1"/>
    <x v="3"/>
    <x v="3"/>
    <x v="1"/>
    <n v="4673"/>
    <x v="0"/>
    <x v="2"/>
    <x v="0"/>
    <n v="2025"/>
    <m/>
  </r>
  <r>
    <d v="2025-09-20T00:00:00"/>
    <x v="8"/>
    <x v="5"/>
    <x v="0"/>
    <x v="15"/>
    <x v="0"/>
    <n v="145656"/>
    <x v="0"/>
    <x v="3"/>
    <x v="1"/>
    <n v="2025"/>
    <m/>
  </r>
  <r>
    <d v="2025-09-20T00:00:00"/>
    <x v="8"/>
    <x v="1"/>
    <x v="6"/>
    <x v="7"/>
    <x v="1"/>
    <n v="57310"/>
    <x v="2"/>
    <x v="3"/>
    <x v="1"/>
    <n v="2025"/>
    <m/>
  </r>
  <r>
    <d v="2025-09-21T00:00:00"/>
    <x v="8"/>
    <x v="1"/>
    <x v="3"/>
    <x v="3"/>
    <x v="1"/>
    <n v="8583"/>
    <x v="1"/>
    <x v="4"/>
    <x v="1"/>
    <n v="2025"/>
    <m/>
  </r>
  <r>
    <d v="2025-09-22T00:00:00"/>
    <x v="8"/>
    <x v="3"/>
    <x v="0"/>
    <x v="8"/>
    <x v="0"/>
    <n v="102698"/>
    <x v="0"/>
    <x v="5"/>
    <x v="0"/>
    <n v="2025"/>
    <m/>
  </r>
  <r>
    <d v="2025-09-22T00:00:00"/>
    <x v="8"/>
    <x v="1"/>
    <x v="1"/>
    <x v="1"/>
    <x v="1"/>
    <n v="7450"/>
    <x v="2"/>
    <x v="5"/>
    <x v="0"/>
    <n v="2025"/>
    <m/>
  </r>
  <r>
    <d v="2025-09-23T00:00:00"/>
    <x v="8"/>
    <x v="1"/>
    <x v="11"/>
    <x v="14"/>
    <x v="1"/>
    <n v="4073"/>
    <x v="2"/>
    <x v="6"/>
    <x v="0"/>
    <n v="2025"/>
    <m/>
  </r>
  <r>
    <d v="2025-09-24T00:00:00"/>
    <x v="8"/>
    <x v="1"/>
    <x v="10"/>
    <x v="13"/>
    <x v="1"/>
    <n v="6513"/>
    <x v="1"/>
    <x v="0"/>
    <x v="0"/>
    <n v="2025"/>
    <m/>
  </r>
  <r>
    <d v="2025-09-25T00:00:00"/>
    <x v="8"/>
    <x v="1"/>
    <x v="5"/>
    <x v="6"/>
    <x v="1"/>
    <n v="6733"/>
    <x v="1"/>
    <x v="1"/>
    <x v="0"/>
    <n v="2025"/>
    <m/>
  </r>
  <r>
    <d v="2025-09-26T00:00:00"/>
    <x v="8"/>
    <x v="1"/>
    <x v="8"/>
    <x v="10"/>
    <x v="1"/>
    <n v="9818"/>
    <x v="1"/>
    <x v="2"/>
    <x v="0"/>
    <n v="2025"/>
    <m/>
  </r>
  <r>
    <d v="2025-09-27T00:00:00"/>
    <x v="8"/>
    <x v="1"/>
    <x v="2"/>
    <x v="2"/>
    <x v="1"/>
    <n v="3633"/>
    <x v="3"/>
    <x v="3"/>
    <x v="1"/>
    <n v="2025"/>
    <m/>
  </r>
  <r>
    <d v="2025-09-28T00:00:00"/>
    <x v="8"/>
    <x v="1"/>
    <x v="8"/>
    <x v="10"/>
    <x v="1"/>
    <n v="18229"/>
    <x v="1"/>
    <x v="4"/>
    <x v="1"/>
    <n v="2025"/>
    <m/>
  </r>
  <r>
    <d v="2025-09-29T00:00:00"/>
    <x v="8"/>
    <x v="4"/>
    <x v="0"/>
    <x v="12"/>
    <x v="0"/>
    <n v="47913"/>
    <x v="0"/>
    <x v="5"/>
    <x v="0"/>
    <n v="2025"/>
    <m/>
  </r>
  <r>
    <d v="2025-09-29T00:00:00"/>
    <x v="8"/>
    <x v="1"/>
    <x v="3"/>
    <x v="3"/>
    <x v="1"/>
    <n v="11831"/>
    <x v="0"/>
    <x v="5"/>
    <x v="0"/>
    <n v="2025"/>
    <m/>
  </r>
  <r>
    <d v="2025-09-30T00:00:00"/>
    <x v="8"/>
    <x v="1"/>
    <x v="9"/>
    <x v="11"/>
    <x v="1"/>
    <n v="15928"/>
    <x v="3"/>
    <x v="6"/>
    <x v="0"/>
    <n v="2025"/>
    <m/>
  </r>
  <r>
    <d v="2025-10-01T00:00:00"/>
    <x v="9"/>
    <x v="0"/>
    <x v="0"/>
    <x v="0"/>
    <x v="0"/>
    <n v="450000"/>
    <x v="0"/>
    <x v="0"/>
    <x v="0"/>
    <n v="2025"/>
    <m/>
  </r>
  <r>
    <d v="2025-10-01T00:00:00"/>
    <x v="9"/>
    <x v="1"/>
    <x v="8"/>
    <x v="10"/>
    <x v="1"/>
    <n v="12848"/>
    <x v="0"/>
    <x v="0"/>
    <x v="0"/>
    <n v="2025"/>
    <m/>
  </r>
  <r>
    <d v="2025-10-02T00:00:00"/>
    <x v="9"/>
    <x v="1"/>
    <x v="7"/>
    <x v="9"/>
    <x v="1"/>
    <n v="5559"/>
    <x v="3"/>
    <x v="1"/>
    <x v="0"/>
    <n v="2025"/>
    <m/>
  </r>
  <r>
    <d v="2025-10-03T00:00:00"/>
    <x v="9"/>
    <x v="1"/>
    <x v="5"/>
    <x v="6"/>
    <x v="1"/>
    <n v="5004"/>
    <x v="1"/>
    <x v="2"/>
    <x v="0"/>
    <n v="2025"/>
    <m/>
  </r>
  <r>
    <d v="2025-10-04T00:00:00"/>
    <x v="9"/>
    <x v="1"/>
    <x v="7"/>
    <x v="9"/>
    <x v="1"/>
    <n v="6826"/>
    <x v="2"/>
    <x v="3"/>
    <x v="1"/>
    <n v="2025"/>
    <m/>
  </r>
  <r>
    <d v="2025-10-05T00:00:00"/>
    <x v="9"/>
    <x v="1"/>
    <x v="13"/>
    <x v="17"/>
    <x v="1"/>
    <n v="5335"/>
    <x v="1"/>
    <x v="4"/>
    <x v="1"/>
    <n v="2025"/>
    <m/>
  </r>
  <r>
    <d v="2025-10-06T00:00:00"/>
    <x v="9"/>
    <x v="1"/>
    <x v="9"/>
    <x v="11"/>
    <x v="1"/>
    <n v="15184"/>
    <x v="3"/>
    <x v="5"/>
    <x v="0"/>
    <n v="2025"/>
    <m/>
  </r>
  <r>
    <d v="2025-10-07T00:00:00"/>
    <x v="9"/>
    <x v="1"/>
    <x v="11"/>
    <x v="14"/>
    <x v="1"/>
    <n v="5973"/>
    <x v="0"/>
    <x v="6"/>
    <x v="0"/>
    <n v="2025"/>
    <m/>
  </r>
  <r>
    <d v="2025-10-08T00:00:00"/>
    <x v="9"/>
    <x v="5"/>
    <x v="0"/>
    <x v="15"/>
    <x v="0"/>
    <n v="140805"/>
    <x v="0"/>
    <x v="0"/>
    <x v="0"/>
    <n v="2025"/>
    <m/>
  </r>
  <r>
    <d v="2025-10-08T00:00:00"/>
    <x v="9"/>
    <x v="1"/>
    <x v="10"/>
    <x v="13"/>
    <x v="1"/>
    <n v="3235"/>
    <x v="0"/>
    <x v="0"/>
    <x v="0"/>
    <n v="2025"/>
    <m/>
  </r>
  <r>
    <d v="2025-10-09T00:00:00"/>
    <x v="9"/>
    <x v="1"/>
    <x v="1"/>
    <x v="1"/>
    <x v="1"/>
    <n v="8617"/>
    <x v="3"/>
    <x v="1"/>
    <x v="0"/>
    <n v="2025"/>
    <m/>
  </r>
  <r>
    <d v="2025-10-10T00:00:00"/>
    <x v="9"/>
    <x v="1"/>
    <x v="6"/>
    <x v="7"/>
    <x v="1"/>
    <n v="67043"/>
    <x v="2"/>
    <x v="2"/>
    <x v="0"/>
    <n v="2025"/>
    <m/>
  </r>
  <r>
    <d v="2025-10-11T00:00:00"/>
    <x v="9"/>
    <x v="1"/>
    <x v="10"/>
    <x v="13"/>
    <x v="1"/>
    <n v="2762"/>
    <x v="0"/>
    <x v="3"/>
    <x v="1"/>
    <n v="2025"/>
    <m/>
  </r>
  <r>
    <d v="2025-10-12T00:00:00"/>
    <x v="9"/>
    <x v="1"/>
    <x v="10"/>
    <x v="13"/>
    <x v="1"/>
    <n v="7341"/>
    <x v="0"/>
    <x v="4"/>
    <x v="1"/>
    <n v="2025"/>
    <m/>
  </r>
  <r>
    <d v="2025-10-13T00:00:00"/>
    <x v="9"/>
    <x v="1"/>
    <x v="2"/>
    <x v="2"/>
    <x v="1"/>
    <n v="5903"/>
    <x v="1"/>
    <x v="5"/>
    <x v="0"/>
    <n v="2025"/>
    <m/>
  </r>
  <r>
    <d v="2025-10-14T00:00:00"/>
    <x v="9"/>
    <x v="1"/>
    <x v="5"/>
    <x v="6"/>
    <x v="1"/>
    <n v="7958"/>
    <x v="3"/>
    <x v="6"/>
    <x v="0"/>
    <n v="2025"/>
    <m/>
  </r>
  <r>
    <d v="2025-10-15T00:00:00"/>
    <x v="9"/>
    <x v="1"/>
    <x v="6"/>
    <x v="7"/>
    <x v="1"/>
    <n v="55996"/>
    <x v="1"/>
    <x v="0"/>
    <x v="0"/>
    <n v="2025"/>
    <m/>
  </r>
  <r>
    <d v="2025-10-16T00:00:00"/>
    <x v="9"/>
    <x v="1"/>
    <x v="3"/>
    <x v="3"/>
    <x v="1"/>
    <n v="11631"/>
    <x v="1"/>
    <x v="1"/>
    <x v="0"/>
    <n v="2025"/>
    <m/>
  </r>
  <r>
    <d v="2025-10-17T00:00:00"/>
    <x v="9"/>
    <x v="1"/>
    <x v="4"/>
    <x v="4"/>
    <x v="1"/>
    <n v="3012"/>
    <x v="0"/>
    <x v="2"/>
    <x v="0"/>
    <n v="2025"/>
    <m/>
  </r>
  <r>
    <d v="2025-10-18T00:00:00"/>
    <x v="9"/>
    <x v="1"/>
    <x v="12"/>
    <x v="16"/>
    <x v="1"/>
    <n v="1817"/>
    <x v="0"/>
    <x v="3"/>
    <x v="1"/>
    <n v="2025"/>
    <m/>
  </r>
  <r>
    <d v="2025-10-19T00:00:00"/>
    <x v="9"/>
    <x v="1"/>
    <x v="5"/>
    <x v="6"/>
    <x v="1"/>
    <n v="5614"/>
    <x v="1"/>
    <x v="4"/>
    <x v="1"/>
    <n v="2025"/>
    <m/>
  </r>
  <r>
    <d v="2025-10-20T00:00:00"/>
    <x v="9"/>
    <x v="4"/>
    <x v="0"/>
    <x v="12"/>
    <x v="0"/>
    <n v="71622"/>
    <x v="0"/>
    <x v="5"/>
    <x v="0"/>
    <n v="2025"/>
    <m/>
  </r>
  <r>
    <d v="2025-10-20T00:00:00"/>
    <x v="9"/>
    <x v="1"/>
    <x v="7"/>
    <x v="9"/>
    <x v="1"/>
    <n v="6147"/>
    <x v="1"/>
    <x v="5"/>
    <x v="0"/>
    <n v="2025"/>
    <m/>
  </r>
  <r>
    <d v="2025-10-21T00:00:00"/>
    <x v="9"/>
    <x v="1"/>
    <x v="12"/>
    <x v="16"/>
    <x v="1"/>
    <n v="2389"/>
    <x v="1"/>
    <x v="6"/>
    <x v="0"/>
    <n v="2025"/>
    <m/>
  </r>
  <r>
    <d v="2025-10-22T00:00:00"/>
    <x v="9"/>
    <x v="1"/>
    <x v="9"/>
    <x v="11"/>
    <x v="1"/>
    <n v="10035"/>
    <x v="1"/>
    <x v="0"/>
    <x v="0"/>
    <n v="2025"/>
    <m/>
  </r>
  <r>
    <d v="2025-10-23T00:00:00"/>
    <x v="9"/>
    <x v="1"/>
    <x v="5"/>
    <x v="6"/>
    <x v="1"/>
    <n v="3330"/>
    <x v="1"/>
    <x v="1"/>
    <x v="0"/>
    <n v="2025"/>
    <m/>
  </r>
  <r>
    <d v="2025-10-24T00:00:00"/>
    <x v="9"/>
    <x v="1"/>
    <x v="8"/>
    <x v="10"/>
    <x v="1"/>
    <n v="24009"/>
    <x v="3"/>
    <x v="2"/>
    <x v="0"/>
    <n v="2025"/>
    <m/>
  </r>
  <r>
    <d v="2025-10-25T00:00:00"/>
    <x v="9"/>
    <x v="1"/>
    <x v="10"/>
    <x v="13"/>
    <x v="1"/>
    <n v="8080"/>
    <x v="3"/>
    <x v="3"/>
    <x v="1"/>
    <n v="2025"/>
    <m/>
  </r>
  <r>
    <d v="2025-10-26T00:00:00"/>
    <x v="9"/>
    <x v="1"/>
    <x v="13"/>
    <x v="17"/>
    <x v="1"/>
    <n v="15879"/>
    <x v="2"/>
    <x v="4"/>
    <x v="1"/>
    <n v="2025"/>
    <m/>
  </r>
  <r>
    <d v="2025-10-27T00:00:00"/>
    <x v="9"/>
    <x v="1"/>
    <x v="1"/>
    <x v="1"/>
    <x v="1"/>
    <n v="5805"/>
    <x v="1"/>
    <x v="5"/>
    <x v="0"/>
    <n v="2025"/>
    <m/>
  </r>
  <r>
    <d v="2025-10-28T00:00:00"/>
    <x v="9"/>
    <x v="1"/>
    <x v="3"/>
    <x v="3"/>
    <x v="1"/>
    <n v="5170"/>
    <x v="0"/>
    <x v="6"/>
    <x v="0"/>
    <n v="2025"/>
    <m/>
  </r>
  <r>
    <d v="2025-10-29T00:00:00"/>
    <x v="9"/>
    <x v="1"/>
    <x v="9"/>
    <x v="11"/>
    <x v="1"/>
    <n v="6565"/>
    <x v="1"/>
    <x v="0"/>
    <x v="0"/>
    <n v="2025"/>
    <m/>
  </r>
  <r>
    <d v="2025-10-30T00:00:00"/>
    <x v="9"/>
    <x v="1"/>
    <x v="11"/>
    <x v="14"/>
    <x v="1"/>
    <n v="3620"/>
    <x v="3"/>
    <x v="1"/>
    <x v="0"/>
    <n v="2025"/>
    <m/>
  </r>
  <r>
    <d v="2025-10-31T00:00:00"/>
    <x v="9"/>
    <x v="1"/>
    <x v="11"/>
    <x v="14"/>
    <x v="1"/>
    <n v="4731"/>
    <x v="2"/>
    <x v="2"/>
    <x v="0"/>
    <n v="2025"/>
    <m/>
  </r>
  <r>
    <d v="2025-11-01T00:00:00"/>
    <x v="10"/>
    <x v="0"/>
    <x v="0"/>
    <x v="0"/>
    <x v="0"/>
    <n v="450000"/>
    <x v="0"/>
    <x v="3"/>
    <x v="1"/>
    <n v="2025"/>
    <m/>
  </r>
  <r>
    <d v="2025-11-01T00:00:00"/>
    <x v="10"/>
    <x v="1"/>
    <x v="6"/>
    <x v="7"/>
    <x v="1"/>
    <n v="67816"/>
    <x v="0"/>
    <x v="3"/>
    <x v="1"/>
    <n v="2025"/>
    <m/>
  </r>
  <r>
    <d v="2025-11-02T00:00:00"/>
    <x v="10"/>
    <x v="1"/>
    <x v="7"/>
    <x v="9"/>
    <x v="1"/>
    <n v="4329"/>
    <x v="0"/>
    <x v="4"/>
    <x v="1"/>
    <n v="2025"/>
    <m/>
  </r>
  <r>
    <d v="2025-11-03T00:00:00"/>
    <x v="10"/>
    <x v="1"/>
    <x v="11"/>
    <x v="14"/>
    <x v="1"/>
    <n v="4707"/>
    <x v="1"/>
    <x v="5"/>
    <x v="0"/>
    <n v="2025"/>
    <m/>
  </r>
  <r>
    <d v="2025-11-04T00:00:00"/>
    <x v="10"/>
    <x v="2"/>
    <x v="0"/>
    <x v="5"/>
    <x v="0"/>
    <n v="48911"/>
    <x v="0"/>
    <x v="6"/>
    <x v="0"/>
    <n v="2025"/>
    <m/>
  </r>
  <r>
    <d v="2025-11-04T00:00:00"/>
    <x v="10"/>
    <x v="1"/>
    <x v="9"/>
    <x v="11"/>
    <x v="1"/>
    <n v="14750"/>
    <x v="3"/>
    <x v="6"/>
    <x v="0"/>
    <n v="2025"/>
    <m/>
  </r>
  <r>
    <d v="2025-11-05T00:00:00"/>
    <x v="10"/>
    <x v="1"/>
    <x v="1"/>
    <x v="1"/>
    <x v="1"/>
    <n v="5385"/>
    <x v="1"/>
    <x v="0"/>
    <x v="0"/>
    <n v="2025"/>
    <m/>
  </r>
  <r>
    <d v="2025-11-06T00:00:00"/>
    <x v="10"/>
    <x v="1"/>
    <x v="6"/>
    <x v="7"/>
    <x v="1"/>
    <n v="76037"/>
    <x v="0"/>
    <x v="1"/>
    <x v="0"/>
    <n v="2025"/>
    <m/>
  </r>
  <r>
    <d v="2025-11-07T00:00:00"/>
    <x v="10"/>
    <x v="1"/>
    <x v="11"/>
    <x v="14"/>
    <x v="1"/>
    <n v="2783"/>
    <x v="3"/>
    <x v="2"/>
    <x v="0"/>
    <n v="2025"/>
    <m/>
  </r>
  <r>
    <d v="2025-11-08T00:00:00"/>
    <x v="10"/>
    <x v="1"/>
    <x v="11"/>
    <x v="14"/>
    <x v="1"/>
    <n v="3742"/>
    <x v="2"/>
    <x v="3"/>
    <x v="1"/>
    <n v="2025"/>
    <m/>
  </r>
  <r>
    <d v="2025-11-09T00:00:00"/>
    <x v="10"/>
    <x v="1"/>
    <x v="2"/>
    <x v="2"/>
    <x v="1"/>
    <n v="3565"/>
    <x v="2"/>
    <x v="4"/>
    <x v="1"/>
    <n v="2025"/>
    <m/>
  </r>
  <r>
    <d v="2025-11-10T00:00:00"/>
    <x v="10"/>
    <x v="1"/>
    <x v="6"/>
    <x v="7"/>
    <x v="1"/>
    <n v="67595"/>
    <x v="2"/>
    <x v="5"/>
    <x v="0"/>
    <n v="2025"/>
    <m/>
  </r>
  <r>
    <d v="2025-11-11T00:00:00"/>
    <x v="10"/>
    <x v="1"/>
    <x v="11"/>
    <x v="14"/>
    <x v="1"/>
    <n v="3106"/>
    <x v="1"/>
    <x v="6"/>
    <x v="0"/>
    <n v="2025"/>
    <m/>
  </r>
  <r>
    <d v="2025-11-12T00:00:00"/>
    <x v="10"/>
    <x v="5"/>
    <x v="0"/>
    <x v="15"/>
    <x v="0"/>
    <n v="176174"/>
    <x v="0"/>
    <x v="0"/>
    <x v="0"/>
    <n v="2025"/>
    <m/>
  </r>
  <r>
    <d v="2025-11-12T00:00:00"/>
    <x v="10"/>
    <x v="1"/>
    <x v="7"/>
    <x v="9"/>
    <x v="1"/>
    <n v="2995"/>
    <x v="0"/>
    <x v="0"/>
    <x v="0"/>
    <n v="2025"/>
    <m/>
  </r>
  <r>
    <d v="2025-11-13T00:00:00"/>
    <x v="10"/>
    <x v="5"/>
    <x v="0"/>
    <x v="15"/>
    <x v="0"/>
    <n v="74268"/>
    <x v="0"/>
    <x v="1"/>
    <x v="0"/>
    <n v="2025"/>
    <m/>
  </r>
  <r>
    <d v="2025-11-13T00:00:00"/>
    <x v="10"/>
    <x v="1"/>
    <x v="12"/>
    <x v="16"/>
    <x v="1"/>
    <n v="3608"/>
    <x v="2"/>
    <x v="1"/>
    <x v="0"/>
    <n v="2025"/>
    <m/>
  </r>
  <r>
    <d v="2025-11-14T00:00:00"/>
    <x v="10"/>
    <x v="2"/>
    <x v="0"/>
    <x v="5"/>
    <x v="0"/>
    <n v="129518"/>
    <x v="0"/>
    <x v="2"/>
    <x v="0"/>
    <n v="2025"/>
    <m/>
  </r>
  <r>
    <d v="2025-11-14T00:00:00"/>
    <x v="10"/>
    <x v="1"/>
    <x v="8"/>
    <x v="10"/>
    <x v="1"/>
    <n v="10661"/>
    <x v="1"/>
    <x v="2"/>
    <x v="0"/>
    <n v="2025"/>
    <m/>
  </r>
  <r>
    <d v="2025-11-15T00:00:00"/>
    <x v="10"/>
    <x v="1"/>
    <x v="3"/>
    <x v="3"/>
    <x v="1"/>
    <n v="7946"/>
    <x v="1"/>
    <x v="3"/>
    <x v="1"/>
    <n v="2025"/>
    <m/>
  </r>
  <r>
    <d v="2025-11-16T00:00:00"/>
    <x v="10"/>
    <x v="1"/>
    <x v="10"/>
    <x v="13"/>
    <x v="1"/>
    <n v="5416"/>
    <x v="0"/>
    <x v="4"/>
    <x v="1"/>
    <n v="2025"/>
    <m/>
  </r>
  <r>
    <d v="2025-11-17T00:00:00"/>
    <x v="10"/>
    <x v="1"/>
    <x v="10"/>
    <x v="13"/>
    <x v="1"/>
    <n v="6442"/>
    <x v="2"/>
    <x v="5"/>
    <x v="0"/>
    <n v="2025"/>
    <m/>
  </r>
  <r>
    <d v="2025-11-18T00:00:00"/>
    <x v="10"/>
    <x v="1"/>
    <x v="11"/>
    <x v="14"/>
    <x v="1"/>
    <n v="2891"/>
    <x v="0"/>
    <x v="6"/>
    <x v="0"/>
    <n v="2025"/>
    <m/>
  </r>
  <r>
    <d v="2025-11-19T00:00:00"/>
    <x v="10"/>
    <x v="5"/>
    <x v="0"/>
    <x v="15"/>
    <x v="0"/>
    <n v="172519"/>
    <x v="0"/>
    <x v="0"/>
    <x v="0"/>
    <n v="2025"/>
    <m/>
  </r>
  <r>
    <d v="2025-11-19T00:00:00"/>
    <x v="10"/>
    <x v="1"/>
    <x v="7"/>
    <x v="9"/>
    <x v="1"/>
    <n v="5412"/>
    <x v="1"/>
    <x v="0"/>
    <x v="0"/>
    <n v="2025"/>
    <m/>
  </r>
  <r>
    <d v="2025-11-20T00:00:00"/>
    <x v="10"/>
    <x v="1"/>
    <x v="8"/>
    <x v="10"/>
    <x v="1"/>
    <n v="23709"/>
    <x v="1"/>
    <x v="1"/>
    <x v="0"/>
    <n v="2025"/>
    <m/>
  </r>
  <r>
    <d v="2025-11-21T00:00:00"/>
    <x v="10"/>
    <x v="1"/>
    <x v="4"/>
    <x v="4"/>
    <x v="1"/>
    <n v="4715"/>
    <x v="3"/>
    <x v="2"/>
    <x v="0"/>
    <n v="2025"/>
    <m/>
  </r>
  <r>
    <d v="2025-11-22T00:00:00"/>
    <x v="10"/>
    <x v="1"/>
    <x v="4"/>
    <x v="4"/>
    <x v="1"/>
    <n v="10081"/>
    <x v="1"/>
    <x v="3"/>
    <x v="1"/>
    <n v="2025"/>
    <m/>
  </r>
  <r>
    <d v="2025-11-23T00:00:00"/>
    <x v="10"/>
    <x v="1"/>
    <x v="6"/>
    <x v="7"/>
    <x v="1"/>
    <n v="77809"/>
    <x v="0"/>
    <x v="4"/>
    <x v="1"/>
    <n v="2025"/>
    <m/>
  </r>
  <r>
    <d v="2025-11-24T00:00:00"/>
    <x v="10"/>
    <x v="3"/>
    <x v="0"/>
    <x v="8"/>
    <x v="0"/>
    <n v="169028"/>
    <x v="0"/>
    <x v="5"/>
    <x v="0"/>
    <n v="2025"/>
    <m/>
  </r>
  <r>
    <d v="2025-11-24T00:00:00"/>
    <x v="10"/>
    <x v="1"/>
    <x v="2"/>
    <x v="2"/>
    <x v="1"/>
    <n v="1663"/>
    <x v="0"/>
    <x v="5"/>
    <x v="0"/>
    <n v="2025"/>
    <m/>
  </r>
  <r>
    <d v="2025-11-25T00:00:00"/>
    <x v="10"/>
    <x v="1"/>
    <x v="8"/>
    <x v="10"/>
    <x v="1"/>
    <n v="24897"/>
    <x v="0"/>
    <x v="6"/>
    <x v="0"/>
    <n v="2025"/>
    <m/>
  </r>
  <r>
    <d v="2025-11-26T00:00:00"/>
    <x v="10"/>
    <x v="1"/>
    <x v="10"/>
    <x v="13"/>
    <x v="1"/>
    <n v="5468"/>
    <x v="1"/>
    <x v="0"/>
    <x v="0"/>
    <n v="2025"/>
    <m/>
  </r>
  <r>
    <d v="2025-11-27T00:00:00"/>
    <x v="10"/>
    <x v="1"/>
    <x v="5"/>
    <x v="6"/>
    <x v="1"/>
    <n v="5596"/>
    <x v="2"/>
    <x v="1"/>
    <x v="0"/>
    <n v="2025"/>
    <m/>
  </r>
  <r>
    <d v="2025-11-28T00:00:00"/>
    <x v="10"/>
    <x v="1"/>
    <x v="12"/>
    <x v="16"/>
    <x v="1"/>
    <n v="1238"/>
    <x v="1"/>
    <x v="2"/>
    <x v="0"/>
    <n v="2025"/>
    <m/>
  </r>
  <r>
    <d v="2025-11-29T00:00:00"/>
    <x v="10"/>
    <x v="1"/>
    <x v="5"/>
    <x v="6"/>
    <x v="1"/>
    <n v="8212"/>
    <x v="1"/>
    <x v="3"/>
    <x v="1"/>
    <n v="2025"/>
    <m/>
  </r>
  <r>
    <d v="2025-11-30T00:00:00"/>
    <x v="10"/>
    <x v="1"/>
    <x v="7"/>
    <x v="9"/>
    <x v="1"/>
    <n v="3979"/>
    <x v="0"/>
    <x v="4"/>
    <x v="1"/>
    <n v="2025"/>
    <m/>
  </r>
  <r>
    <d v="2025-12-01T00:00:00"/>
    <x v="11"/>
    <x v="0"/>
    <x v="0"/>
    <x v="0"/>
    <x v="0"/>
    <n v="450000"/>
    <x v="0"/>
    <x v="5"/>
    <x v="0"/>
    <n v="2025"/>
    <m/>
  </r>
  <r>
    <d v="2025-12-01T00:00:00"/>
    <x v="11"/>
    <x v="1"/>
    <x v="2"/>
    <x v="2"/>
    <x v="1"/>
    <n v="2257"/>
    <x v="2"/>
    <x v="5"/>
    <x v="0"/>
    <n v="2025"/>
    <m/>
  </r>
  <r>
    <d v="2025-12-02T00:00:00"/>
    <x v="11"/>
    <x v="1"/>
    <x v="9"/>
    <x v="11"/>
    <x v="1"/>
    <n v="15664"/>
    <x v="0"/>
    <x v="6"/>
    <x v="0"/>
    <n v="2025"/>
    <m/>
  </r>
  <r>
    <d v="2025-12-03T00:00:00"/>
    <x v="11"/>
    <x v="1"/>
    <x v="8"/>
    <x v="10"/>
    <x v="1"/>
    <n v="5242"/>
    <x v="2"/>
    <x v="0"/>
    <x v="0"/>
    <n v="2025"/>
    <m/>
  </r>
  <r>
    <d v="2025-12-04T00:00:00"/>
    <x v="11"/>
    <x v="2"/>
    <x v="0"/>
    <x v="5"/>
    <x v="0"/>
    <n v="62864"/>
    <x v="0"/>
    <x v="1"/>
    <x v="0"/>
    <n v="2025"/>
    <m/>
  </r>
  <r>
    <d v="2025-12-04T00:00:00"/>
    <x v="11"/>
    <x v="1"/>
    <x v="12"/>
    <x v="16"/>
    <x v="1"/>
    <n v="3035"/>
    <x v="3"/>
    <x v="1"/>
    <x v="0"/>
    <n v="2025"/>
    <m/>
  </r>
  <r>
    <d v="2025-12-05T00:00:00"/>
    <x v="11"/>
    <x v="1"/>
    <x v="1"/>
    <x v="1"/>
    <x v="1"/>
    <n v="6010"/>
    <x v="2"/>
    <x v="2"/>
    <x v="0"/>
    <n v="2025"/>
    <m/>
  </r>
  <r>
    <d v="2025-12-06T00:00:00"/>
    <x v="11"/>
    <x v="1"/>
    <x v="4"/>
    <x v="4"/>
    <x v="1"/>
    <n v="7293"/>
    <x v="1"/>
    <x v="3"/>
    <x v="1"/>
    <n v="2025"/>
    <m/>
  </r>
  <r>
    <d v="2025-12-07T00:00:00"/>
    <x v="11"/>
    <x v="4"/>
    <x v="0"/>
    <x v="12"/>
    <x v="0"/>
    <n v="70044"/>
    <x v="0"/>
    <x v="4"/>
    <x v="1"/>
    <n v="2025"/>
    <m/>
  </r>
  <r>
    <d v="2025-12-07T00:00:00"/>
    <x v="11"/>
    <x v="1"/>
    <x v="2"/>
    <x v="2"/>
    <x v="1"/>
    <n v="4249"/>
    <x v="3"/>
    <x v="4"/>
    <x v="1"/>
    <n v="2025"/>
    <m/>
  </r>
  <r>
    <d v="2025-12-08T00:00:00"/>
    <x v="11"/>
    <x v="1"/>
    <x v="7"/>
    <x v="9"/>
    <x v="1"/>
    <n v="3216"/>
    <x v="1"/>
    <x v="5"/>
    <x v="0"/>
    <n v="2025"/>
    <m/>
  </r>
  <r>
    <d v="2025-12-09T00:00:00"/>
    <x v="11"/>
    <x v="1"/>
    <x v="10"/>
    <x v="13"/>
    <x v="1"/>
    <n v="8872"/>
    <x v="2"/>
    <x v="6"/>
    <x v="0"/>
    <n v="2025"/>
    <m/>
  </r>
  <r>
    <d v="2025-12-10T00:00:00"/>
    <x v="11"/>
    <x v="5"/>
    <x v="0"/>
    <x v="15"/>
    <x v="0"/>
    <n v="103777"/>
    <x v="0"/>
    <x v="0"/>
    <x v="0"/>
    <n v="2025"/>
    <m/>
  </r>
  <r>
    <d v="2025-12-10T00:00:00"/>
    <x v="11"/>
    <x v="1"/>
    <x v="13"/>
    <x v="17"/>
    <x v="1"/>
    <n v="18319"/>
    <x v="1"/>
    <x v="0"/>
    <x v="0"/>
    <n v="2025"/>
    <m/>
  </r>
  <r>
    <d v="2025-12-11T00:00:00"/>
    <x v="11"/>
    <x v="1"/>
    <x v="3"/>
    <x v="3"/>
    <x v="1"/>
    <n v="8175"/>
    <x v="3"/>
    <x v="1"/>
    <x v="0"/>
    <n v="2025"/>
    <m/>
  </r>
  <r>
    <d v="2025-12-12T00:00:00"/>
    <x v="11"/>
    <x v="1"/>
    <x v="8"/>
    <x v="10"/>
    <x v="1"/>
    <n v="19658"/>
    <x v="2"/>
    <x v="2"/>
    <x v="0"/>
    <n v="2025"/>
    <m/>
  </r>
  <r>
    <d v="2025-12-13T00:00:00"/>
    <x v="11"/>
    <x v="1"/>
    <x v="10"/>
    <x v="13"/>
    <x v="1"/>
    <n v="6259"/>
    <x v="2"/>
    <x v="3"/>
    <x v="1"/>
    <n v="2025"/>
    <m/>
  </r>
  <r>
    <d v="2025-12-14T00:00:00"/>
    <x v="11"/>
    <x v="1"/>
    <x v="5"/>
    <x v="6"/>
    <x v="1"/>
    <n v="8189"/>
    <x v="2"/>
    <x v="4"/>
    <x v="1"/>
    <n v="2025"/>
    <m/>
  </r>
  <r>
    <d v="2025-12-15T00:00:00"/>
    <x v="11"/>
    <x v="5"/>
    <x v="0"/>
    <x v="15"/>
    <x v="0"/>
    <n v="149202"/>
    <x v="0"/>
    <x v="5"/>
    <x v="0"/>
    <n v="2025"/>
    <m/>
  </r>
  <r>
    <d v="2025-12-15T00:00:00"/>
    <x v="11"/>
    <x v="1"/>
    <x v="6"/>
    <x v="7"/>
    <x v="1"/>
    <n v="71825"/>
    <x v="1"/>
    <x v="5"/>
    <x v="0"/>
    <n v="2025"/>
    <m/>
  </r>
  <r>
    <d v="2025-12-16T00:00:00"/>
    <x v="11"/>
    <x v="1"/>
    <x v="8"/>
    <x v="10"/>
    <x v="1"/>
    <n v="18408"/>
    <x v="2"/>
    <x v="6"/>
    <x v="0"/>
    <n v="2025"/>
    <m/>
  </r>
  <r>
    <d v="2025-12-17T00:00:00"/>
    <x v="11"/>
    <x v="1"/>
    <x v="7"/>
    <x v="9"/>
    <x v="1"/>
    <n v="5359"/>
    <x v="1"/>
    <x v="0"/>
    <x v="0"/>
    <n v="2025"/>
    <m/>
  </r>
  <r>
    <d v="2025-12-18T00:00:00"/>
    <x v="11"/>
    <x v="1"/>
    <x v="6"/>
    <x v="7"/>
    <x v="1"/>
    <n v="62232"/>
    <x v="1"/>
    <x v="1"/>
    <x v="0"/>
    <n v="2025"/>
    <m/>
  </r>
  <r>
    <d v="2025-12-19T00:00:00"/>
    <x v="11"/>
    <x v="1"/>
    <x v="11"/>
    <x v="14"/>
    <x v="1"/>
    <n v="2363"/>
    <x v="0"/>
    <x v="2"/>
    <x v="0"/>
    <n v="2025"/>
    <m/>
  </r>
  <r>
    <d v="2025-12-20T00:00:00"/>
    <x v="11"/>
    <x v="1"/>
    <x v="7"/>
    <x v="9"/>
    <x v="1"/>
    <n v="6254"/>
    <x v="0"/>
    <x v="3"/>
    <x v="1"/>
    <n v="2025"/>
    <m/>
  </r>
  <r>
    <d v="2025-12-21T00:00:00"/>
    <x v="11"/>
    <x v="1"/>
    <x v="5"/>
    <x v="6"/>
    <x v="1"/>
    <n v="4332"/>
    <x v="0"/>
    <x v="4"/>
    <x v="1"/>
    <n v="2025"/>
    <m/>
  </r>
  <r>
    <d v="2025-12-22T00:00:00"/>
    <x v="11"/>
    <x v="1"/>
    <x v="13"/>
    <x v="17"/>
    <x v="1"/>
    <n v="11982"/>
    <x v="0"/>
    <x v="5"/>
    <x v="0"/>
    <n v="2025"/>
    <m/>
  </r>
  <r>
    <d v="2025-12-23T00:00:00"/>
    <x v="11"/>
    <x v="1"/>
    <x v="4"/>
    <x v="4"/>
    <x v="1"/>
    <n v="5040"/>
    <x v="3"/>
    <x v="6"/>
    <x v="0"/>
    <n v="2025"/>
    <m/>
  </r>
  <r>
    <d v="2025-12-24T00:00:00"/>
    <x v="11"/>
    <x v="1"/>
    <x v="10"/>
    <x v="13"/>
    <x v="1"/>
    <n v="6195"/>
    <x v="2"/>
    <x v="0"/>
    <x v="0"/>
    <n v="2025"/>
    <m/>
  </r>
  <r>
    <d v="2025-12-25T00:00:00"/>
    <x v="11"/>
    <x v="1"/>
    <x v="10"/>
    <x v="13"/>
    <x v="1"/>
    <n v="5241"/>
    <x v="1"/>
    <x v="1"/>
    <x v="0"/>
    <n v="2025"/>
    <m/>
  </r>
  <r>
    <d v="2025-12-26T00:00:00"/>
    <x v="11"/>
    <x v="1"/>
    <x v="11"/>
    <x v="14"/>
    <x v="1"/>
    <n v="4922"/>
    <x v="3"/>
    <x v="2"/>
    <x v="0"/>
    <n v="2025"/>
    <m/>
  </r>
  <r>
    <d v="2025-12-27T00:00:00"/>
    <x v="11"/>
    <x v="1"/>
    <x v="8"/>
    <x v="10"/>
    <x v="1"/>
    <n v="7059"/>
    <x v="1"/>
    <x v="3"/>
    <x v="1"/>
    <n v="2025"/>
    <m/>
  </r>
  <r>
    <d v="2025-12-28T00:00:00"/>
    <x v="11"/>
    <x v="1"/>
    <x v="12"/>
    <x v="16"/>
    <x v="1"/>
    <n v="2175"/>
    <x v="2"/>
    <x v="4"/>
    <x v="1"/>
    <n v="2025"/>
    <m/>
  </r>
  <r>
    <d v="2025-12-29T00:00:00"/>
    <x v="11"/>
    <x v="1"/>
    <x v="7"/>
    <x v="9"/>
    <x v="1"/>
    <n v="2808"/>
    <x v="2"/>
    <x v="5"/>
    <x v="0"/>
    <n v="2025"/>
    <m/>
  </r>
  <r>
    <d v="2025-12-30T00:00:00"/>
    <x v="11"/>
    <x v="1"/>
    <x v="13"/>
    <x v="17"/>
    <x v="1"/>
    <n v="16797"/>
    <x v="2"/>
    <x v="6"/>
    <x v="0"/>
    <n v="2025"/>
    <m/>
  </r>
  <r>
    <d v="2025-12-31T00:00:00"/>
    <x v="11"/>
    <x v="1"/>
    <x v="8"/>
    <x v="10"/>
    <x v="1"/>
    <n v="23013"/>
    <x v="0"/>
    <x v="0"/>
    <x v="0"/>
    <n v="202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34BE14-E7BA-4A09-BB53-90E372DDA32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7:J30" firstHeaderRow="1" firstDataRow="1" firstDataCol="1" rowPageCount="1" colPageCount="1"/>
  <pivotFields count="12">
    <pivotField numFmtId="164" showAll="0"/>
    <pivotField showAll="0">
      <items count="13">
        <item x="0"/>
        <item x="1"/>
        <item x="2"/>
        <item x="3"/>
        <item x="4"/>
        <item x="5"/>
        <item x="6"/>
        <item x="7"/>
        <item x="8"/>
        <item x="9"/>
        <item x="10"/>
        <item x="11"/>
        <item t="default"/>
      </items>
    </pivotField>
    <pivotField showAll="0"/>
    <pivotField showAll="0">
      <items count="15">
        <item x="5"/>
        <item x="8"/>
        <item x="7"/>
        <item x="10"/>
        <item x="3"/>
        <item x="4"/>
        <item x="9"/>
        <item x="11"/>
        <item x="2"/>
        <item x="6"/>
        <item x="13"/>
        <item x="12"/>
        <item x="1"/>
        <item x="0"/>
        <item t="default"/>
      </items>
    </pivotField>
    <pivotField showAll="0"/>
    <pivotField axis="axisPage" showAll="0">
      <items count="3">
        <item x="1"/>
        <item x="0"/>
        <item t="default"/>
      </items>
    </pivotField>
    <pivotField dataField="1" showAll="0"/>
    <pivotField showAll="0">
      <items count="5">
        <item x="1"/>
        <item x="3"/>
        <item x="2"/>
        <item x="0"/>
        <item t="default"/>
      </items>
    </pivotField>
    <pivotField showAll="0"/>
    <pivotField axis="axisRow" showAll="0">
      <items count="3">
        <item x="0"/>
        <item x="1"/>
        <item t="default"/>
      </items>
    </pivotField>
    <pivotField showAll="0"/>
    <pivotField showAll="0"/>
  </pivotFields>
  <rowFields count="1">
    <field x="9"/>
  </rowFields>
  <rowItems count="3">
    <i>
      <x/>
    </i>
    <i>
      <x v="1"/>
    </i>
    <i t="grand">
      <x/>
    </i>
  </rowItems>
  <colItems count="1">
    <i/>
  </colItems>
  <pageFields count="1">
    <pageField fld="5" item="0" hier="-1"/>
  </pageFields>
  <dataFields count="1">
    <dataField name="Sum of Amount (₦)"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CE33F2-CA01-44C6-AFA0-889D360801C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7:J18" firstHeaderRow="1" firstDataRow="1" firstDataCol="1" rowPageCount="1" colPageCount="1"/>
  <pivotFields count="12">
    <pivotField numFmtId="164" showAll="0"/>
    <pivotField showAll="0">
      <items count="13">
        <item x="0"/>
        <item x="1"/>
        <item x="2"/>
        <item x="3"/>
        <item x="4"/>
        <item x="5"/>
        <item x="6"/>
        <item x="7"/>
        <item x="8"/>
        <item x="9"/>
        <item x="10"/>
        <item x="11"/>
        <item t="default"/>
      </items>
    </pivotField>
    <pivotField showAll="0"/>
    <pivotField showAll="0">
      <items count="15">
        <item x="5"/>
        <item x="8"/>
        <item x="7"/>
        <item x="10"/>
        <item x="3"/>
        <item x="4"/>
        <item x="9"/>
        <item x="11"/>
        <item x="2"/>
        <item x="6"/>
        <item x="13"/>
        <item x="12"/>
        <item x="1"/>
        <item x="0"/>
        <item t="default"/>
      </items>
    </pivotField>
    <pivotField axis="axisRow" showAll="0" measureFilter="1">
      <items count="19">
        <item x="5"/>
        <item x="12"/>
        <item x="6"/>
        <item x="10"/>
        <item x="9"/>
        <item x="15"/>
        <item x="13"/>
        <item x="3"/>
        <item x="4"/>
        <item x="11"/>
        <item x="14"/>
        <item x="8"/>
        <item x="2"/>
        <item x="0"/>
        <item x="7"/>
        <item x="17"/>
        <item x="16"/>
        <item x="1"/>
        <item t="default"/>
      </items>
    </pivotField>
    <pivotField axis="axisPage" showAll="0">
      <items count="3">
        <item x="1"/>
        <item x="0"/>
        <item t="default"/>
      </items>
    </pivotField>
    <pivotField dataField="1" showAll="0"/>
    <pivotField showAll="0">
      <items count="5">
        <item x="1"/>
        <item x="3"/>
        <item x="2"/>
        <item x="0"/>
        <item t="default"/>
      </items>
    </pivotField>
    <pivotField showAll="0"/>
    <pivotField showAll="0"/>
    <pivotField showAll="0"/>
    <pivotField showAll="0"/>
  </pivotFields>
  <rowFields count="1">
    <field x="4"/>
  </rowFields>
  <rowItems count="11">
    <i>
      <x v="2"/>
    </i>
    <i>
      <x v="3"/>
    </i>
    <i>
      <x v="4"/>
    </i>
    <i>
      <x v="6"/>
    </i>
    <i>
      <x v="7"/>
    </i>
    <i>
      <x v="8"/>
    </i>
    <i>
      <x v="9"/>
    </i>
    <i>
      <x v="14"/>
    </i>
    <i>
      <x v="15"/>
    </i>
    <i>
      <x v="17"/>
    </i>
    <i t="grand">
      <x/>
    </i>
  </rowItems>
  <colItems count="1">
    <i/>
  </colItems>
  <pageFields count="1">
    <pageField fld="5" item="0" hier="-1"/>
  </pageFields>
  <dataFields count="1">
    <dataField name="Sum of Amount (₦)" fld="6"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8C8685-140A-41EF-8A44-0FBB436EFA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rowPageCount="1" colPageCount="1"/>
  <pivotFields count="12">
    <pivotField numFmtId="164" showAll="0"/>
    <pivotField axis="axisRow" showAll="0">
      <items count="13">
        <item x="0"/>
        <item x="1"/>
        <item x="2"/>
        <item x="3"/>
        <item x="4"/>
        <item x="5"/>
        <item x="6"/>
        <item x="7"/>
        <item x="8"/>
        <item x="9"/>
        <item x="10"/>
        <item x="11"/>
        <item t="default"/>
      </items>
    </pivotField>
    <pivotField showAll="0"/>
    <pivotField showAll="0">
      <items count="15">
        <item x="5"/>
        <item x="8"/>
        <item x="7"/>
        <item x="10"/>
        <item x="3"/>
        <item x="4"/>
        <item x="9"/>
        <item x="11"/>
        <item x="2"/>
        <item x="6"/>
        <item x="13"/>
        <item x="12"/>
        <item x="1"/>
        <item x="0"/>
        <item t="default"/>
      </items>
    </pivotField>
    <pivotField showAll="0"/>
    <pivotField axis="axisPage" showAll="0">
      <items count="3">
        <item x="1"/>
        <item x="0"/>
        <item t="default"/>
      </items>
    </pivotField>
    <pivotField dataField="1" showAll="0"/>
    <pivotField showAll="0">
      <items count="5">
        <item x="1"/>
        <item x="3"/>
        <item x="2"/>
        <item x="0"/>
        <item t="default"/>
      </items>
    </pivotField>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pageFields count="1">
    <pageField fld="5" item="1" hier="-1"/>
  </pageFields>
  <dataFields count="1">
    <dataField name="Sum of Amount (₦)"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6B486-1922-4CD6-997B-F631D846830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6:G21" firstHeaderRow="1" firstDataRow="1" firstDataCol="1" rowPageCount="1" colPageCount="1"/>
  <pivotFields count="12">
    <pivotField numFmtId="164" showAll="0"/>
    <pivotField showAll="0">
      <items count="13">
        <item x="0"/>
        <item x="1"/>
        <item x="2"/>
        <item x="3"/>
        <item x="4"/>
        <item x="5"/>
        <item x="6"/>
        <item x="7"/>
        <item x="8"/>
        <item x="9"/>
        <item x="10"/>
        <item x="11"/>
        <item t="default"/>
      </items>
    </pivotField>
    <pivotField showAll="0"/>
    <pivotField showAll="0">
      <items count="15">
        <item x="5"/>
        <item x="8"/>
        <item x="7"/>
        <item x="10"/>
        <item x="3"/>
        <item x="4"/>
        <item x="9"/>
        <item x="11"/>
        <item x="2"/>
        <item x="6"/>
        <item x="13"/>
        <item x="12"/>
        <item x="1"/>
        <item x="0"/>
        <item t="default"/>
      </items>
    </pivotField>
    <pivotField showAll="0"/>
    <pivotField axis="axisPage" showAll="0">
      <items count="3">
        <item x="1"/>
        <item x="0"/>
        <item t="default"/>
      </items>
    </pivotField>
    <pivotField dataField="1" showAll="0"/>
    <pivotField axis="axisRow" showAll="0">
      <items count="5">
        <item x="1"/>
        <item x="3"/>
        <item x="2"/>
        <item x="0"/>
        <item t="default"/>
      </items>
    </pivotField>
    <pivotField showAll="0"/>
    <pivotField showAll="0"/>
    <pivotField showAll="0"/>
    <pivotField showAll="0"/>
  </pivotFields>
  <rowFields count="1">
    <field x="7"/>
  </rowFields>
  <rowItems count="5">
    <i>
      <x/>
    </i>
    <i>
      <x v="1"/>
    </i>
    <i>
      <x v="2"/>
    </i>
    <i>
      <x v="3"/>
    </i>
    <i t="grand">
      <x/>
    </i>
  </rowItems>
  <colItems count="1">
    <i/>
  </colItems>
  <pageFields count="1">
    <pageField fld="5" item="0" hier="-1"/>
  </pageFields>
  <dataFields count="1">
    <dataField name="Sum of Amount (₦)" fld="6"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4269A2-6C0B-42BC-9A4A-5BFF00541F0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4:B60" firstHeaderRow="1" firstDataRow="1" firstDataCol="1" rowPageCount="1" colPageCount="1"/>
  <pivotFields count="12">
    <pivotField numFmtId="164" showAll="0"/>
    <pivotField showAll="0">
      <items count="13">
        <item x="0"/>
        <item x="1"/>
        <item x="2"/>
        <item x="3"/>
        <item x="4"/>
        <item x="5"/>
        <item x="6"/>
        <item x="7"/>
        <item x="8"/>
        <item x="9"/>
        <item x="10"/>
        <item x="11"/>
        <item t="default"/>
      </items>
    </pivotField>
    <pivotField axis="axisRow" showAll="0">
      <items count="7">
        <item x="2"/>
        <item x="4"/>
        <item x="5"/>
        <item x="3"/>
        <item x="0"/>
        <item x="1"/>
        <item t="default"/>
      </items>
    </pivotField>
    <pivotField showAll="0">
      <items count="15">
        <item x="5"/>
        <item x="8"/>
        <item x="7"/>
        <item x="10"/>
        <item x="3"/>
        <item x="4"/>
        <item x="9"/>
        <item x="11"/>
        <item x="2"/>
        <item x="6"/>
        <item x="13"/>
        <item x="12"/>
        <item x="1"/>
        <item x="0"/>
        <item t="default"/>
      </items>
    </pivotField>
    <pivotField showAll="0"/>
    <pivotField axis="axisPage" showAll="0">
      <items count="3">
        <item x="1"/>
        <item x="0"/>
        <item t="default"/>
      </items>
    </pivotField>
    <pivotField dataField="1" showAll="0"/>
    <pivotField showAll="0">
      <items count="5">
        <item x="1"/>
        <item x="3"/>
        <item x="2"/>
        <item x="0"/>
        <item t="default"/>
      </items>
    </pivotField>
    <pivotField showAll="0"/>
    <pivotField showAll="0"/>
    <pivotField showAll="0"/>
    <pivotField showAll="0"/>
  </pivotFields>
  <rowFields count="1">
    <field x="2"/>
  </rowFields>
  <rowItems count="6">
    <i>
      <x/>
    </i>
    <i>
      <x v="1"/>
    </i>
    <i>
      <x v="2"/>
    </i>
    <i>
      <x v="3"/>
    </i>
    <i>
      <x v="4"/>
    </i>
    <i t="grand">
      <x/>
    </i>
  </rowItems>
  <colItems count="1">
    <i/>
  </colItems>
  <pageFields count="1">
    <pageField fld="5" item="1" hier="-1"/>
  </pageFields>
  <dataFields count="1">
    <dataField name="Sum of Amount (₦)"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783098-44E1-43BF-AFB4-F3E7CCC49A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6:B50" firstHeaderRow="1" firstDataRow="1" firstDataCol="1" rowPageCount="1" colPageCount="1"/>
  <pivotFields count="12">
    <pivotField numFmtId="164" showAll="0"/>
    <pivotField showAll="0">
      <items count="13">
        <item x="0"/>
        <item x="1"/>
        <item x="2"/>
        <item x="3"/>
        <item x="4"/>
        <item x="5"/>
        <item x="6"/>
        <item x="7"/>
        <item x="8"/>
        <item x="9"/>
        <item x="10"/>
        <item x="11"/>
        <item t="default"/>
      </items>
    </pivotField>
    <pivotField showAll="0"/>
    <pivotField axis="axisRow" showAll="0">
      <items count="15">
        <item x="5"/>
        <item x="8"/>
        <item x="7"/>
        <item x="10"/>
        <item x="3"/>
        <item x="4"/>
        <item x="9"/>
        <item x="11"/>
        <item x="2"/>
        <item x="6"/>
        <item x="13"/>
        <item x="12"/>
        <item x="1"/>
        <item x="0"/>
        <item t="default"/>
      </items>
    </pivotField>
    <pivotField showAll="0"/>
    <pivotField axis="axisPage" showAll="0">
      <items count="3">
        <item x="1"/>
        <item x="0"/>
        <item t="default"/>
      </items>
    </pivotField>
    <pivotField dataField="1" showAll="0"/>
    <pivotField showAll="0">
      <items count="5">
        <item x="1"/>
        <item x="3"/>
        <item x="2"/>
        <item x="0"/>
        <item t="default"/>
      </items>
    </pivotField>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pageFields count="1">
    <pageField fld="5" item="0" hier="-1"/>
  </pageFields>
  <dataFields count="1">
    <dataField name="Sum of Amount (₦)" fld="6" baseField="0" baseItem="0"/>
  </dataFields>
  <chartFormats count="14">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3" count="1" selected="0">
            <x v="0"/>
          </reference>
        </references>
      </pivotArea>
    </chartFormat>
    <chartFormat chart="2" format="17">
      <pivotArea type="data" outline="0" fieldPosition="0">
        <references count="2">
          <reference field="4294967294" count="1" selected="0">
            <x v="0"/>
          </reference>
          <reference field="3" count="1" selected="0">
            <x v="1"/>
          </reference>
        </references>
      </pivotArea>
    </chartFormat>
    <chartFormat chart="2" format="18">
      <pivotArea type="data" outline="0" fieldPosition="0">
        <references count="2">
          <reference field="4294967294" count="1" selected="0">
            <x v="0"/>
          </reference>
          <reference field="3" count="1" selected="0">
            <x v="2"/>
          </reference>
        </references>
      </pivotArea>
    </chartFormat>
    <chartFormat chart="2" format="19">
      <pivotArea type="data" outline="0" fieldPosition="0">
        <references count="2">
          <reference field="4294967294" count="1" selected="0">
            <x v="0"/>
          </reference>
          <reference field="3" count="1" selected="0">
            <x v="3"/>
          </reference>
        </references>
      </pivotArea>
    </chartFormat>
    <chartFormat chart="2" format="20">
      <pivotArea type="data" outline="0" fieldPosition="0">
        <references count="2">
          <reference field="4294967294" count="1" selected="0">
            <x v="0"/>
          </reference>
          <reference field="3" count="1" selected="0">
            <x v="4"/>
          </reference>
        </references>
      </pivotArea>
    </chartFormat>
    <chartFormat chart="2" format="21">
      <pivotArea type="data" outline="0" fieldPosition="0">
        <references count="2">
          <reference field="4294967294" count="1" selected="0">
            <x v="0"/>
          </reference>
          <reference field="3" count="1" selected="0">
            <x v="5"/>
          </reference>
        </references>
      </pivotArea>
    </chartFormat>
    <chartFormat chart="2" format="22">
      <pivotArea type="data" outline="0" fieldPosition="0">
        <references count="2">
          <reference field="4294967294" count="1" selected="0">
            <x v="0"/>
          </reference>
          <reference field="3" count="1" selected="0">
            <x v="6"/>
          </reference>
        </references>
      </pivotArea>
    </chartFormat>
    <chartFormat chart="2" format="23">
      <pivotArea type="data" outline="0" fieldPosition="0">
        <references count="2">
          <reference field="4294967294" count="1" selected="0">
            <x v="0"/>
          </reference>
          <reference field="3" count="1" selected="0">
            <x v="7"/>
          </reference>
        </references>
      </pivotArea>
    </chartFormat>
    <chartFormat chart="2" format="24">
      <pivotArea type="data" outline="0" fieldPosition="0">
        <references count="2">
          <reference field="4294967294" count="1" selected="0">
            <x v="0"/>
          </reference>
          <reference field="3" count="1" selected="0">
            <x v="8"/>
          </reference>
        </references>
      </pivotArea>
    </chartFormat>
    <chartFormat chart="2" format="25">
      <pivotArea type="data" outline="0" fieldPosition="0">
        <references count="2">
          <reference field="4294967294" count="1" selected="0">
            <x v="0"/>
          </reference>
          <reference field="3" count="1" selected="0">
            <x v="9"/>
          </reference>
        </references>
      </pivotArea>
    </chartFormat>
    <chartFormat chart="2" format="26">
      <pivotArea type="data" outline="0" fieldPosition="0">
        <references count="2">
          <reference field="4294967294" count="1" selected="0">
            <x v="0"/>
          </reference>
          <reference field="3" count="1" selected="0">
            <x v="10"/>
          </reference>
        </references>
      </pivotArea>
    </chartFormat>
    <chartFormat chart="2" format="27">
      <pivotArea type="data" outline="0" fieldPosition="0">
        <references count="2">
          <reference field="4294967294" count="1" selected="0">
            <x v="0"/>
          </reference>
          <reference field="3" count="1" selected="0">
            <x v="11"/>
          </reference>
        </references>
      </pivotArea>
    </chartFormat>
    <chartFormat chart="2" format="28">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936349-C6CF-4339-9C34-1383C4CE09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33" firstHeaderRow="1" firstDataRow="1" firstDataCol="1" rowPageCount="1" colPageCount="1"/>
  <pivotFields count="12">
    <pivotField numFmtId="164" showAll="0"/>
    <pivotField axis="axisRow" showAll="0">
      <items count="13">
        <item x="0"/>
        <item x="1"/>
        <item x="2"/>
        <item x="3"/>
        <item x="4"/>
        <item x="5"/>
        <item x="6"/>
        <item x="7"/>
        <item x="8"/>
        <item x="9"/>
        <item x="10"/>
        <item x="11"/>
        <item t="default"/>
      </items>
    </pivotField>
    <pivotField showAll="0"/>
    <pivotField showAll="0">
      <items count="15">
        <item x="5"/>
        <item x="8"/>
        <item x="7"/>
        <item x="10"/>
        <item x="3"/>
        <item x="4"/>
        <item x="9"/>
        <item x="11"/>
        <item x="2"/>
        <item x="6"/>
        <item x="13"/>
        <item x="12"/>
        <item x="1"/>
        <item x="0"/>
        <item t="default"/>
      </items>
    </pivotField>
    <pivotField showAll="0"/>
    <pivotField axis="axisPage" showAll="0">
      <items count="3">
        <item x="1"/>
        <item x="0"/>
        <item t="default"/>
      </items>
    </pivotField>
    <pivotField dataField="1" showAll="0"/>
    <pivotField showAll="0">
      <items count="5">
        <item x="1"/>
        <item x="3"/>
        <item x="2"/>
        <item x="0"/>
        <item t="default"/>
      </items>
    </pivotField>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pageFields count="1">
    <pageField fld="5" item="0" hier="-1"/>
  </pageFields>
  <dataFields count="1">
    <dataField name="Sum of Amount (₦)"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CFD43E-53BD-4EC1-B538-94FABB1F2B3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7:F35" firstHeaderRow="1" firstDataRow="1" firstDataCol="1" rowPageCount="1" colPageCount="1"/>
  <pivotFields count="12">
    <pivotField numFmtId="164" showAll="0"/>
    <pivotField showAll="0">
      <items count="13">
        <item x="0"/>
        <item x="1"/>
        <item x="2"/>
        <item x="3"/>
        <item x="4"/>
        <item x="5"/>
        <item x="6"/>
        <item x="7"/>
        <item x="8"/>
        <item x="9"/>
        <item x="10"/>
        <item x="11"/>
        <item t="default"/>
      </items>
    </pivotField>
    <pivotField showAll="0"/>
    <pivotField showAll="0">
      <items count="15">
        <item x="5"/>
        <item x="8"/>
        <item x="7"/>
        <item x="10"/>
        <item x="3"/>
        <item x="4"/>
        <item x="9"/>
        <item x="11"/>
        <item x="2"/>
        <item x="6"/>
        <item x="13"/>
        <item x="12"/>
        <item x="1"/>
        <item x="0"/>
        <item t="default"/>
      </items>
    </pivotField>
    <pivotField showAll="0"/>
    <pivotField axis="axisPage" showAll="0">
      <items count="3">
        <item x="1"/>
        <item x="0"/>
        <item t="default"/>
      </items>
    </pivotField>
    <pivotField dataField="1" showAll="0"/>
    <pivotField showAll="0">
      <items count="5">
        <item x="1"/>
        <item x="3"/>
        <item x="2"/>
        <item x="0"/>
        <item t="default"/>
      </items>
    </pivotField>
    <pivotField axis="axisRow" showAll="0">
      <items count="8">
        <item x="4"/>
        <item x="5"/>
        <item x="6"/>
        <item x="0"/>
        <item x="1"/>
        <item x="2"/>
        <item x="3"/>
        <item t="default"/>
      </items>
    </pivotField>
    <pivotField showAll="0"/>
    <pivotField showAll="0"/>
    <pivotField showAll="0"/>
  </pivotFields>
  <rowFields count="1">
    <field x="8"/>
  </rowFields>
  <rowItems count="8">
    <i>
      <x/>
    </i>
    <i>
      <x v="1"/>
    </i>
    <i>
      <x v="2"/>
    </i>
    <i>
      <x v="3"/>
    </i>
    <i>
      <x v="4"/>
    </i>
    <i>
      <x v="5"/>
    </i>
    <i>
      <x v="6"/>
    </i>
    <i t="grand">
      <x/>
    </i>
  </rowItems>
  <colItems count="1">
    <i/>
  </colItems>
  <pageFields count="1">
    <pageField fld="5" item="1" hier="-1"/>
  </pageFields>
  <dataFields count="1">
    <dataField name="Sum of Amount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3744789-BFB5-46EA-8F2F-FB130B4F2E2F}" sourceName="Month">
  <pivotTables>
    <pivotTable tabId="4" name="PivotTable3"/>
    <pivotTable tabId="4" name="PivotTable10"/>
    <pivotTable tabId="4" name="PivotTable4"/>
    <pivotTable tabId="4" name="PivotTable5"/>
    <pivotTable tabId="4" name="PivotTable6"/>
    <pivotTable tabId="4" name="PivotTable7"/>
    <pivotTable tabId="4" name="PivotTable8"/>
    <pivotTable tabId="4" name="PivotTable9"/>
  </pivotTables>
  <data>
    <tabular pivotCacheId="1871380015">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A3CAF-2724-4BD0-BDE3-2098B9A508D2}" sourceName="Payment Method">
  <pivotTables>
    <pivotTable tabId="4" name="PivotTable4"/>
    <pivotTable tabId="4" name="PivotTable10"/>
    <pivotTable tabId="4" name="PivotTable3"/>
    <pivotTable tabId="4" name="PivotTable5"/>
    <pivotTable tabId="4" name="PivotTable6"/>
    <pivotTable tabId="4" name="PivotTable7"/>
    <pivotTable tabId="4" name="PivotTable8"/>
    <pivotTable tabId="4" name="PivotTable9"/>
  </pivotTables>
  <data>
    <tabular pivotCacheId="1871380015">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Category" xr10:uid="{7C9C49D5-3FFE-4B40-A811-B741FE709A7C}" sourceName="Expense Category">
  <pivotTables>
    <pivotTable tabId="4" name="PivotTable5"/>
    <pivotTable tabId="4" name="PivotTable10"/>
    <pivotTable tabId="4" name="PivotTable3"/>
    <pivotTable tabId="4" name="PivotTable4"/>
    <pivotTable tabId="4" name="PivotTable6"/>
    <pivotTable tabId="4" name="PivotTable7"/>
    <pivotTable tabId="4" name="PivotTable8"/>
    <pivotTable tabId="4" name="PivotTable9"/>
  </pivotTables>
  <data>
    <tabular pivotCacheId="1871380015">
      <items count="14">
        <i x="5" s="1"/>
        <i x="8" s="1"/>
        <i x="7" s="1"/>
        <i x="10" s="1"/>
        <i x="3" s="1"/>
        <i x="4" s="1"/>
        <i x="9" s="1"/>
        <i x="11" s="1"/>
        <i x="2" s="1"/>
        <i x="6" s="1"/>
        <i x="13" s="1"/>
        <i x="1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66487F5-AF3B-4AD6-B6BC-C29376727676}" cache="Slicer_Month" caption="Month" rowHeight="241300"/>
  <slicer name="Payment Method" xr10:uid="{F4AF359A-3203-447F-B2A0-5042295388AA}" cache="Slicer_Payment_Method" caption="Payment Method" rowHeight="241300"/>
  <slicer name="Expense Category" xr10:uid="{545F1A9A-8D06-4068-BE39-A9DD0CC739B2}" cache="Slicer_Expense_Category" caption="Expense Category"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CCB05D-720A-4C73-8C4F-2A152E3DE1D8}" name="FinanceData" displayName="FinanceData" ref="A1:L437" totalsRowShown="0">
  <autoFilter ref="A1:L437" xr:uid="{A7CCB05D-720A-4C73-8C4F-2A152E3DE1D8}"/>
  <tableColumns count="12">
    <tableColumn id="1" xr3:uid="{9BAF88A6-D592-43D8-AC56-D70272EB81F7}" name="Date" dataDxfId="4"/>
    <tableColumn id="2" xr3:uid="{8536C926-C3C6-4659-933F-513F20FA5728}" name="Month"/>
    <tableColumn id="3" xr3:uid="{3FD6CD48-903E-43B0-BFB5-C5F4B64BFE75}" name="Income Source"/>
    <tableColumn id="4" xr3:uid="{9C2E8C79-4CFC-4E49-8AFB-517D77ACF68D}" name="Expense Category"/>
    <tableColumn id="5" xr3:uid="{8424DD47-8E99-4C09-9EE6-CA632E3FA62A}" name="Description"/>
    <tableColumn id="6" xr3:uid="{44541068-E292-4CB5-A379-A49E85DEEA1D}" name="Type"/>
    <tableColumn id="7" xr3:uid="{E57BD80C-883F-4D8F-9318-E16F97870A73}" name="Amount (₦)"/>
    <tableColumn id="8" xr3:uid="{5746FE78-B04D-427D-A434-AF7AA2033B94}" name="Payment Method"/>
    <tableColumn id="9" xr3:uid="{F96FBF87-C716-4723-8F1D-3F1B63ADE35E}" name="Day" dataDxfId="3">
      <calculatedColumnFormula>TEXT(FinanceData[[#This Row],[Date]],"dddd")</calculatedColumnFormula>
    </tableColumn>
    <tableColumn id="10" xr3:uid="{3819D1E0-B833-46C9-B64D-AD89AE1BF7FE}" name="Day Type" dataDxfId="2">
      <calculatedColumnFormula>IF(OR(FinanceData[[#This Row],[Day]]="Saturday",FinanceData[[#This Row],[Day]]="Sunday"),"Weekend","Weekday")</calculatedColumnFormula>
    </tableColumn>
    <tableColumn id="11" xr3:uid="{0FA7CB15-599A-4C69-B087-E5E0AA3EF0E9}" name="Year" dataDxfId="1">
      <calculatedColumnFormula>YEAR(FinanceData[[#This Row],[Date]])</calculatedColumnFormula>
    </tableColumn>
    <tableColumn id="12" xr3:uid="{FBA3F051-D478-428A-BF3F-97EF1EE00AE5}" name="Savings"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FinanceDashboard">
      <a:dk1>
        <a:sysClr val="windowText" lastClr="000000"/>
      </a:dk1>
      <a:lt1>
        <a:sysClr val="window" lastClr="FFFFFF"/>
      </a:lt1>
      <a:dk2>
        <a:srgbClr val="1F497D"/>
      </a:dk2>
      <a:lt2>
        <a:srgbClr val="EEECE1"/>
      </a:lt2>
      <a:accent1>
        <a:srgbClr val="2E8B7C"/>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7"/>
  <sheetViews>
    <sheetView workbookViewId="0">
      <selection activeCell="C9" sqref="C9"/>
    </sheetView>
  </sheetViews>
  <sheetFormatPr defaultRowHeight="15"/>
  <cols>
    <col min="1" max="1" width="10.42578125" bestFit="1" customWidth="1"/>
    <col min="2" max="2" width="9.140625" customWidth="1"/>
    <col min="3" max="3" width="16.140625" customWidth="1"/>
    <col min="4" max="4" width="18.85546875" customWidth="1"/>
    <col min="5" max="5" width="14.28515625" bestFit="1" customWidth="1"/>
    <col min="6" max="6" width="8.42578125" bestFit="1" customWidth="1"/>
    <col min="7" max="7" width="13.5703125" customWidth="1"/>
    <col min="8" max="8" width="18.5703125" customWidth="1"/>
  </cols>
  <sheetData>
    <row r="1" spans="1:12">
      <c r="A1" t="s">
        <v>0</v>
      </c>
      <c r="B1" t="s">
        <v>1</v>
      </c>
      <c r="C1" t="s">
        <v>2</v>
      </c>
      <c r="D1" t="s">
        <v>3</v>
      </c>
      <c r="E1" t="s">
        <v>4</v>
      </c>
      <c r="F1" t="s">
        <v>5</v>
      </c>
      <c r="G1" t="s">
        <v>6</v>
      </c>
      <c r="H1" t="s">
        <v>7</v>
      </c>
      <c r="I1" t="s">
        <v>45</v>
      </c>
      <c r="J1" t="s">
        <v>46</v>
      </c>
      <c r="K1" t="s">
        <v>47</v>
      </c>
      <c r="L1" t="s">
        <v>48</v>
      </c>
    </row>
    <row r="2" spans="1:12">
      <c r="A2" s="1">
        <v>45658</v>
      </c>
      <c r="B2" t="s">
        <v>8</v>
      </c>
      <c r="C2" t="s">
        <v>9</v>
      </c>
      <c r="E2" t="s">
        <v>10</v>
      </c>
      <c r="F2" t="s">
        <v>11</v>
      </c>
      <c r="G2">
        <v>450000</v>
      </c>
      <c r="H2" t="s">
        <v>12</v>
      </c>
      <c r="I2" t="str">
        <f>TEXT(FinanceData[[#This Row],[Date]],"dddd")</f>
        <v>Wednesday</v>
      </c>
      <c r="J2" t="str">
        <f>IF(OR(FinanceData[[#This Row],[Day]]="Saturday",FinanceData[[#This Row],[Day]]="Sunday"),"Weekend","Weekday")</f>
        <v>Weekday</v>
      </c>
      <c r="K2">
        <f>YEAR(FinanceData[[#This Row],[Date]])</f>
        <v>2025</v>
      </c>
    </row>
    <row r="3" spans="1:12">
      <c r="A3" s="1">
        <v>45658</v>
      </c>
      <c r="B3" t="s">
        <v>8</v>
      </c>
      <c r="D3" t="s">
        <v>13</v>
      </c>
      <c r="E3" t="s">
        <v>13</v>
      </c>
      <c r="F3" t="s">
        <v>14</v>
      </c>
      <c r="G3">
        <v>3196</v>
      </c>
      <c r="H3" t="s">
        <v>15</v>
      </c>
      <c r="I3" t="str">
        <f>TEXT(FinanceData[[#This Row],[Date]],"dddd")</f>
        <v>Wednesday</v>
      </c>
      <c r="J3" t="str">
        <f>IF(OR(FinanceData[[#This Row],[Day]]="Saturday",FinanceData[[#This Row],[Day]]="Sunday"),"Weekend","Weekday")</f>
        <v>Weekday</v>
      </c>
      <c r="K3">
        <f>YEAR(FinanceData[[#This Row],[Date]])</f>
        <v>2025</v>
      </c>
    </row>
    <row r="4" spans="1:12">
      <c r="A4" s="1">
        <v>45659</v>
      </c>
      <c r="B4" t="s">
        <v>8</v>
      </c>
      <c r="D4" t="s">
        <v>16</v>
      </c>
      <c r="E4" t="s">
        <v>16</v>
      </c>
      <c r="F4" t="s">
        <v>14</v>
      </c>
      <c r="G4">
        <v>4861</v>
      </c>
      <c r="H4" t="s">
        <v>15</v>
      </c>
      <c r="I4" t="str">
        <f>TEXT(FinanceData[[#This Row],[Date]],"dddd")</f>
        <v>Thursday</v>
      </c>
      <c r="J4" t="str">
        <f>IF(OR(FinanceData[[#This Row],[Day]]="Saturday",FinanceData[[#This Row],[Day]]="Sunday"),"Weekend","Weekday")</f>
        <v>Weekday</v>
      </c>
      <c r="K4">
        <f>YEAR(FinanceData[[#This Row],[Date]])</f>
        <v>2025</v>
      </c>
    </row>
    <row r="5" spans="1:12">
      <c r="A5" s="1">
        <v>45660</v>
      </c>
      <c r="B5" t="s">
        <v>8</v>
      </c>
      <c r="D5" t="s">
        <v>17</v>
      </c>
      <c r="E5" t="s">
        <v>17</v>
      </c>
      <c r="F5" t="s">
        <v>14</v>
      </c>
      <c r="G5">
        <v>3428</v>
      </c>
      <c r="H5" t="s">
        <v>15</v>
      </c>
      <c r="I5" t="str">
        <f>TEXT(FinanceData[[#This Row],[Date]],"dddd")</f>
        <v>Friday</v>
      </c>
      <c r="J5" t="str">
        <f>IF(OR(FinanceData[[#This Row],[Day]]="Saturday",FinanceData[[#This Row],[Day]]="Sunday"),"Weekend","Weekday")</f>
        <v>Weekday</v>
      </c>
      <c r="K5">
        <f>YEAR(FinanceData[[#This Row],[Date]])</f>
        <v>2025</v>
      </c>
    </row>
    <row r="6" spans="1:12">
      <c r="A6" s="1">
        <v>45661</v>
      </c>
      <c r="B6" t="s">
        <v>8</v>
      </c>
      <c r="D6" t="s">
        <v>18</v>
      </c>
      <c r="E6" t="s">
        <v>18</v>
      </c>
      <c r="F6" t="s">
        <v>14</v>
      </c>
      <c r="G6">
        <v>8874</v>
      </c>
      <c r="H6" t="s">
        <v>19</v>
      </c>
      <c r="I6" t="str">
        <f>TEXT(FinanceData[[#This Row],[Date]],"dddd")</f>
        <v>Saturday</v>
      </c>
      <c r="J6" t="str">
        <f>IF(OR(FinanceData[[#This Row],[Day]]="Saturday",FinanceData[[#This Row],[Day]]="Sunday"),"Weekend","Weekday")</f>
        <v>Weekend</v>
      </c>
      <c r="K6">
        <f>YEAR(FinanceData[[#This Row],[Date]])</f>
        <v>2025</v>
      </c>
    </row>
    <row r="7" spans="1:12">
      <c r="A7" s="1">
        <v>45662</v>
      </c>
      <c r="B7" t="s">
        <v>8</v>
      </c>
      <c r="D7" t="s">
        <v>13</v>
      </c>
      <c r="E7" t="s">
        <v>13</v>
      </c>
      <c r="F7" t="s">
        <v>14</v>
      </c>
      <c r="G7">
        <v>5666</v>
      </c>
      <c r="H7" t="s">
        <v>15</v>
      </c>
      <c r="I7" t="str">
        <f>TEXT(FinanceData[[#This Row],[Date]],"dddd")</f>
        <v>Sunday</v>
      </c>
      <c r="J7" t="str">
        <f>IF(OR(FinanceData[[#This Row],[Day]]="Saturday",FinanceData[[#This Row],[Day]]="Sunday"),"Weekend","Weekday")</f>
        <v>Weekend</v>
      </c>
      <c r="K7">
        <f>YEAR(FinanceData[[#This Row],[Date]])</f>
        <v>2025</v>
      </c>
    </row>
    <row r="8" spans="1:12">
      <c r="A8" s="1">
        <v>45663</v>
      </c>
      <c r="B8" t="s">
        <v>8</v>
      </c>
      <c r="C8" t="s">
        <v>20</v>
      </c>
      <c r="E8" t="s">
        <v>20</v>
      </c>
      <c r="F8" t="s">
        <v>11</v>
      </c>
      <c r="G8">
        <v>167643</v>
      </c>
      <c r="H8" t="s">
        <v>12</v>
      </c>
      <c r="I8" t="str">
        <f>TEXT(FinanceData[[#This Row],[Date]],"dddd")</f>
        <v>Monday</v>
      </c>
      <c r="J8" t="str">
        <f>IF(OR(FinanceData[[#This Row],[Day]]="Saturday",FinanceData[[#This Row],[Day]]="Sunday"),"Weekend","Weekday")</f>
        <v>Weekday</v>
      </c>
      <c r="K8">
        <f>YEAR(FinanceData[[#This Row],[Date]])</f>
        <v>2025</v>
      </c>
    </row>
    <row r="9" spans="1:12">
      <c r="A9" s="1">
        <v>45663</v>
      </c>
      <c r="B9" t="s">
        <v>8</v>
      </c>
      <c r="D9" t="s">
        <v>21</v>
      </c>
      <c r="E9" t="s">
        <v>21</v>
      </c>
      <c r="F9" t="s">
        <v>14</v>
      </c>
      <c r="G9">
        <v>8395</v>
      </c>
      <c r="H9" t="s">
        <v>19</v>
      </c>
      <c r="I9" t="str">
        <f>TEXT(FinanceData[[#This Row],[Date]],"dddd")</f>
        <v>Monday</v>
      </c>
      <c r="J9" t="str">
        <f>IF(OR(FinanceData[[#This Row],[Day]]="Saturday",FinanceData[[#This Row],[Day]]="Sunday"),"Weekend","Weekday")</f>
        <v>Weekday</v>
      </c>
      <c r="K9">
        <f>YEAR(FinanceData[[#This Row],[Date]])</f>
        <v>2025</v>
      </c>
    </row>
    <row r="10" spans="1:12">
      <c r="A10" s="1">
        <v>45664</v>
      </c>
      <c r="B10" t="s">
        <v>8</v>
      </c>
      <c r="D10" t="s">
        <v>22</v>
      </c>
      <c r="E10" t="s">
        <v>22</v>
      </c>
      <c r="F10" t="s">
        <v>14</v>
      </c>
      <c r="G10">
        <v>60756</v>
      </c>
      <c r="H10" t="s">
        <v>19</v>
      </c>
      <c r="I10" t="str">
        <f>TEXT(FinanceData[[#This Row],[Date]],"dddd")</f>
        <v>Tuesday</v>
      </c>
      <c r="J10" t="str">
        <f>IF(OR(FinanceData[[#This Row],[Day]]="Saturday",FinanceData[[#This Row],[Day]]="Sunday"),"Weekend","Weekday")</f>
        <v>Weekday</v>
      </c>
      <c r="K10">
        <f>YEAR(FinanceData[[#This Row],[Date]])</f>
        <v>2025</v>
      </c>
    </row>
    <row r="11" spans="1:12">
      <c r="A11" s="1">
        <v>45665</v>
      </c>
      <c r="B11" t="s">
        <v>8</v>
      </c>
      <c r="C11" t="s">
        <v>23</v>
      </c>
      <c r="E11" t="s">
        <v>23</v>
      </c>
      <c r="F11" t="s">
        <v>11</v>
      </c>
      <c r="G11">
        <v>116449</v>
      </c>
      <c r="H11" t="s">
        <v>12</v>
      </c>
      <c r="I11" t="str">
        <f>TEXT(FinanceData[[#This Row],[Date]],"dddd")</f>
        <v>Wednesday</v>
      </c>
      <c r="J11" t="str">
        <f>IF(OR(FinanceData[[#This Row],[Day]]="Saturday",FinanceData[[#This Row],[Day]]="Sunday"),"Weekend","Weekday")</f>
        <v>Weekday</v>
      </c>
      <c r="K11">
        <f>YEAR(FinanceData[[#This Row],[Date]])</f>
        <v>2025</v>
      </c>
    </row>
    <row r="12" spans="1:12">
      <c r="A12" s="1">
        <v>45665</v>
      </c>
      <c r="B12" t="s">
        <v>8</v>
      </c>
      <c r="D12" t="s">
        <v>18</v>
      </c>
      <c r="E12" t="s">
        <v>18</v>
      </c>
      <c r="F12" t="s">
        <v>14</v>
      </c>
      <c r="G12">
        <v>5158</v>
      </c>
      <c r="H12" t="s">
        <v>12</v>
      </c>
      <c r="I12" t="str">
        <f>TEXT(FinanceData[[#This Row],[Date]],"dddd")</f>
        <v>Wednesday</v>
      </c>
      <c r="J12" t="str">
        <f>IF(OR(FinanceData[[#This Row],[Day]]="Saturday",FinanceData[[#This Row],[Day]]="Sunday"),"Weekend","Weekday")</f>
        <v>Weekday</v>
      </c>
      <c r="K12">
        <f>YEAR(FinanceData[[#This Row],[Date]])</f>
        <v>2025</v>
      </c>
    </row>
    <row r="13" spans="1:12">
      <c r="A13" s="1">
        <v>45666</v>
      </c>
      <c r="B13" t="s">
        <v>8</v>
      </c>
      <c r="D13" t="s">
        <v>22</v>
      </c>
      <c r="E13" t="s">
        <v>22</v>
      </c>
      <c r="F13" t="s">
        <v>14</v>
      </c>
      <c r="G13">
        <v>78644</v>
      </c>
      <c r="H13" t="s">
        <v>15</v>
      </c>
      <c r="I13" t="str">
        <f>TEXT(FinanceData[[#This Row],[Date]],"dddd")</f>
        <v>Thursday</v>
      </c>
      <c r="J13" t="str">
        <f>IF(OR(FinanceData[[#This Row],[Day]]="Saturday",FinanceData[[#This Row],[Day]]="Sunday"),"Weekend","Weekday")</f>
        <v>Weekday</v>
      </c>
      <c r="K13">
        <f>YEAR(FinanceData[[#This Row],[Date]])</f>
        <v>2025</v>
      </c>
    </row>
    <row r="14" spans="1:12">
      <c r="A14" s="1">
        <v>45667</v>
      </c>
      <c r="B14" t="s">
        <v>8</v>
      </c>
      <c r="C14" t="s">
        <v>20</v>
      </c>
      <c r="E14" t="s">
        <v>20</v>
      </c>
      <c r="F14" t="s">
        <v>11</v>
      </c>
      <c r="G14">
        <v>95465</v>
      </c>
      <c r="H14" t="s">
        <v>12</v>
      </c>
      <c r="I14" t="str">
        <f>TEXT(FinanceData[[#This Row],[Date]],"dddd")</f>
        <v>Friday</v>
      </c>
      <c r="J14" t="str">
        <f>IF(OR(FinanceData[[#This Row],[Day]]="Saturday",FinanceData[[#This Row],[Day]]="Sunday"),"Weekend","Weekday")</f>
        <v>Weekday</v>
      </c>
      <c r="K14">
        <f>YEAR(FinanceData[[#This Row],[Date]])</f>
        <v>2025</v>
      </c>
    </row>
    <row r="15" spans="1:12">
      <c r="A15" s="1">
        <v>45667</v>
      </c>
      <c r="B15" t="s">
        <v>8</v>
      </c>
      <c r="D15" t="s">
        <v>22</v>
      </c>
      <c r="E15" t="s">
        <v>22</v>
      </c>
      <c r="F15" t="s">
        <v>14</v>
      </c>
      <c r="G15">
        <v>67445</v>
      </c>
      <c r="H15" t="s">
        <v>24</v>
      </c>
      <c r="I15" t="str">
        <f>TEXT(FinanceData[[#This Row],[Date]],"dddd")</f>
        <v>Friday</v>
      </c>
      <c r="J15" t="str">
        <f>IF(OR(FinanceData[[#This Row],[Day]]="Saturday",FinanceData[[#This Row],[Day]]="Sunday"),"Weekend","Weekday")</f>
        <v>Weekday</v>
      </c>
      <c r="K15">
        <f>YEAR(FinanceData[[#This Row],[Date]])</f>
        <v>2025</v>
      </c>
    </row>
    <row r="16" spans="1:12">
      <c r="A16" s="1">
        <v>45668</v>
      </c>
      <c r="B16" t="s">
        <v>8</v>
      </c>
      <c r="D16" t="s">
        <v>25</v>
      </c>
      <c r="E16" t="s">
        <v>25</v>
      </c>
      <c r="F16" t="s">
        <v>14</v>
      </c>
      <c r="G16">
        <v>6497</v>
      </c>
      <c r="H16" t="s">
        <v>12</v>
      </c>
      <c r="I16" t="str">
        <f>TEXT(FinanceData[[#This Row],[Date]],"dddd")</f>
        <v>Saturday</v>
      </c>
      <c r="J16" t="str">
        <f>IF(OR(FinanceData[[#This Row],[Day]]="Saturday",FinanceData[[#This Row],[Day]]="Sunday"),"Weekend","Weekday")</f>
        <v>Weekend</v>
      </c>
      <c r="K16">
        <f>YEAR(FinanceData[[#This Row],[Date]])</f>
        <v>2025</v>
      </c>
    </row>
    <row r="17" spans="1:11">
      <c r="A17" s="1">
        <v>45669</v>
      </c>
      <c r="B17" t="s">
        <v>8</v>
      </c>
      <c r="D17" t="s">
        <v>26</v>
      </c>
      <c r="E17" t="s">
        <v>26</v>
      </c>
      <c r="F17" t="s">
        <v>14</v>
      </c>
      <c r="G17">
        <v>14458</v>
      </c>
      <c r="H17" t="s">
        <v>24</v>
      </c>
      <c r="I17" t="str">
        <f>TEXT(FinanceData[[#This Row],[Date]],"dddd")</f>
        <v>Sunday</v>
      </c>
      <c r="J17" t="str">
        <f>IF(OR(FinanceData[[#This Row],[Day]]="Saturday",FinanceData[[#This Row],[Day]]="Sunday"),"Weekend","Weekday")</f>
        <v>Weekend</v>
      </c>
      <c r="K17">
        <f>YEAR(FinanceData[[#This Row],[Date]])</f>
        <v>2025</v>
      </c>
    </row>
    <row r="18" spans="1:11">
      <c r="A18" s="1">
        <v>45670</v>
      </c>
      <c r="B18" t="s">
        <v>8</v>
      </c>
      <c r="D18" t="s">
        <v>16</v>
      </c>
      <c r="E18" t="s">
        <v>16</v>
      </c>
      <c r="F18" t="s">
        <v>14</v>
      </c>
      <c r="G18">
        <v>3600</v>
      </c>
      <c r="H18" t="s">
        <v>24</v>
      </c>
      <c r="I18" t="str">
        <f>TEXT(FinanceData[[#This Row],[Date]],"dddd")</f>
        <v>Monday</v>
      </c>
      <c r="J18" t="str">
        <f>IF(OR(FinanceData[[#This Row],[Day]]="Saturday",FinanceData[[#This Row],[Day]]="Sunday"),"Weekend","Weekday")</f>
        <v>Weekday</v>
      </c>
      <c r="K18">
        <f>YEAR(FinanceData[[#This Row],[Date]])</f>
        <v>2025</v>
      </c>
    </row>
    <row r="19" spans="1:11">
      <c r="A19" s="1">
        <v>45671</v>
      </c>
      <c r="B19" t="s">
        <v>8</v>
      </c>
      <c r="D19" t="s">
        <v>18</v>
      </c>
      <c r="E19" t="s">
        <v>18</v>
      </c>
      <c r="F19" t="s">
        <v>14</v>
      </c>
      <c r="G19">
        <v>4997</v>
      </c>
      <c r="H19" t="s">
        <v>12</v>
      </c>
      <c r="I19" t="str">
        <f>TEXT(FinanceData[[#This Row],[Date]],"dddd")</f>
        <v>Tuesday</v>
      </c>
      <c r="J19" t="str">
        <f>IF(OR(FinanceData[[#This Row],[Day]]="Saturday",FinanceData[[#This Row],[Day]]="Sunday"),"Weekend","Weekday")</f>
        <v>Weekday</v>
      </c>
      <c r="K19">
        <f>YEAR(FinanceData[[#This Row],[Date]])</f>
        <v>2025</v>
      </c>
    </row>
    <row r="20" spans="1:11">
      <c r="A20" s="1">
        <v>45672</v>
      </c>
      <c r="B20" t="s">
        <v>8</v>
      </c>
      <c r="D20" t="s">
        <v>13</v>
      </c>
      <c r="E20" t="s">
        <v>13</v>
      </c>
      <c r="F20" t="s">
        <v>14</v>
      </c>
      <c r="G20">
        <v>5747</v>
      </c>
      <c r="H20" t="s">
        <v>24</v>
      </c>
      <c r="I20" t="str">
        <f>TEXT(FinanceData[[#This Row],[Date]],"dddd")</f>
        <v>Wednesday</v>
      </c>
      <c r="J20" t="str">
        <f>IF(OR(FinanceData[[#This Row],[Day]]="Saturday",FinanceData[[#This Row],[Day]]="Sunday"),"Weekend","Weekday")</f>
        <v>Weekday</v>
      </c>
      <c r="K20">
        <f>YEAR(FinanceData[[#This Row],[Date]])</f>
        <v>2025</v>
      </c>
    </row>
    <row r="21" spans="1:11">
      <c r="A21" s="1">
        <v>45673</v>
      </c>
      <c r="B21" t="s">
        <v>8</v>
      </c>
      <c r="D21" t="s">
        <v>13</v>
      </c>
      <c r="E21" t="s">
        <v>13</v>
      </c>
      <c r="F21" t="s">
        <v>14</v>
      </c>
      <c r="G21">
        <v>6212</v>
      </c>
      <c r="H21" t="s">
        <v>12</v>
      </c>
      <c r="I21" t="str">
        <f>TEXT(FinanceData[[#This Row],[Date]],"dddd")</f>
        <v>Thursday</v>
      </c>
      <c r="J21" t="str">
        <f>IF(OR(FinanceData[[#This Row],[Day]]="Saturday",FinanceData[[#This Row],[Day]]="Sunday"),"Weekend","Weekday")</f>
        <v>Weekday</v>
      </c>
      <c r="K21">
        <f>YEAR(FinanceData[[#This Row],[Date]])</f>
        <v>2025</v>
      </c>
    </row>
    <row r="22" spans="1:11">
      <c r="A22" s="1">
        <v>45674</v>
      </c>
      <c r="B22" t="s">
        <v>8</v>
      </c>
      <c r="C22" t="s">
        <v>20</v>
      </c>
      <c r="E22" t="s">
        <v>20</v>
      </c>
      <c r="F22" t="s">
        <v>11</v>
      </c>
      <c r="G22">
        <v>95382</v>
      </c>
      <c r="H22" t="s">
        <v>12</v>
      </c>
      <c r="I22" t="str">
        <f>TEXT(FinanceData[[#This Row],[Date]],"dddd")</f>
        <v>Friday</v>
      </c>
      <c r="J22" t="str">
        <f>IF(OR(FinanceData[[#This Row],[Day]]="Saturday",FinanceData[[#This Row],[Day]]="Sunday"),"Weekend","Weekday")</f>
        <v>Weekday</v>
      </c>
      <c r="K22">
        <f>YEAR(FinanceData[[#This Row],[Date]])</f>
        <v>2025</v>
      </c>
    </row>
    <row r="23" spans="1:11">
      <c r="A23" s="1">
        <v>45674</v>
      </c>
      <c r="B23" t="s">
        <v>8</v>
      </c>
      <c r="D23" t="s">
        <v>21</v>
      </c>
      <c r="E23" t="s">
        <v>21</v>
      </c>
      <c r="F23" t="s">
        <v>14</v>
      </c>
      <c r="G23">
        <v>3249</v>
      </c>
      <c r="H23" t="s">
        <v>15</v>
      </c>
      <c r="I23" t="str">
        <f>TEXT(FinanceData[[#This Row],[Date]],"dddd")</f>
        <v>Friday</v>
      </c>
      <c r="J23" t="str">
        <f>IF(OR(FinanceData[[#This Row],[Day]]="Saturday",FinanceData[[#This Row],[Day]]="Sunday"),"Weekend","Weekday")</f>
        <v>Weekday</v>
      </c>
      <c r="K23">
        <f>YEAR(FinanceData[[#This Row],[Date]])</f>
        <v>2025</v>
      </c>
    </row>
    <row r="24" spans="1:11">
      <c r="A24" s="1">
        <v>45675</v>
      </c>
      <c r="B24" t="s">
        <v>8</v>
      </c>
      <c r="D24" t="s">
        <v>27</v>
      </c>
      <c r="E24" t="s">
        <v>27</v>
      </c>
      <c r="F24" t="s">
        <v>14</v>
      </c>
      <c r="G24">
        <v>8143</v>
      </c>
      <c r="H24" t="s">
        <v>15</v>
      </c>
      <c r="I24" t="str">
        <f>TEXT(FinanceData[[#This Row],[Date]],"dddd")</f>
        <v>Saturday</v>
      </c>
      <c r="J24" t="str">
        <f>IF(OR(FinanceData[[#This Row],[Day]]="Saturday",FinanceData[[#This Row],[Day]]="Sunday"),"Weekend","Weekday")</f>
        <v>Weekend</v>
      </c>
      <c r="K24">
        <f>YEAR(FinanceData[[#This Row],[Date]])</f>
        <v>2025</v>
      </c>
    </row>
    <row r="25" spans="1:11">
      <c r="A25" s="1">
        <v>45676</v>
      </c>
      <c r="B25" t="s">
        <v>8</v>
      </c>
      <c r="C25" t="s">
        <v>28</v>
      </c>
      <c r="E25" t="s">
        <v>28</v>
      </c>
      <c r="F25" t="s">
        <v>11</v>
      </c>
      <c r="G25">
        <v>46565</v>
      </c>
      <c r="H25" t="s">
        <v>12</v>
      </c>
      <c r="I25" t="str">
        <f>TEXT(FinanceData[[#This Row],[Date]],"dddd")</f>
        <v>Sunday</v>
      </c>
      <c r="J25" t="str">
        <f>IF(OR(FinanceData[[#This Row],[Day]]="Saturday",FinanceData[[#This Row],[Day]]="Sunday"),"Weekend","Weekday")</f>
        <v>Weekend</v>
      </c>
      <c r="K25">
        <f>YEAR(FinanceData[[#This Row],[Date]])</f>
        <v>2025</v>
      </c>
    </row>
    <row r="26" spans="1:11">
      <c r="A26" s="1">
        <v>45676</v>
      </c>
      <c r="B26" t="s">
        <v>8</v>
      </c>
      <c r="D26" t="s">
        <v>26</v>
      </c>
      <c r="E26" t="s">
        <v>26</v>
      </c>
      <c r="F26" t="s">
        <v>14</v>
      </c>
      <c r="G26">
        <v>20571</v>
      </c>
      <c r="H26" t="s">
        <v>24</v>
      </c>
      <c r="I26" t="str">
        <f>TEXT(FinanceData[[#This Row],[Date]],"dddd")</f>
        <v>Sunday</v>
      </c>
      <c r="J26" t="str">
        <f>IF(OR(FinanceData[[#This Row],[Day]]="Saturday",FinanceData[[#This Row],[Day]]="Sunday"),"Weekend","Weekday")</f>
        <v>Weekend</v>
      </c>
      <c r="K26">
        <f>YEAR(FinanceData[[#This Row],[Date]])</f>
        <v>2025</v>
      </c>
    </row>
    <row r="27" spans="1:11">
      <c r="A27" s="1">
        <v>45677</v>
      </c>
      <c r="B27" t="s">
        <v>8</v>
      </c>
      <c r="D27" t="s">
        <v>29</v>
      </c>
      <c r="E27" t="s">
        <v>29</v>
      </c>
      <c r="F27" t="s">
        <v>14</v>
      </c>
      <c r="G27">
        <v>7240</v>
      </c>
      <c r="H27" t="s">
        <v>19</v>
      </c>
      <c r="I27" t="str">
        <f>TEXT(FinanceData[[#This Row],[Date]],"dddd")</f>
        <v>Monday</v>
      </c>
      <c r="J27" t="str">
        <f>IF(OR(FinanceData[[#This Row],[Day]]="Saturday",FinanceData[[#This Row],[Day]]="Sunday"),"Weekend","Weekday")</f>
        <v>Weekday</v>
      </c>
      <c r="K27">
        <f>YEAR(FinanceData[[#This Row],[Date]])</f>
        <v>2025</v>
      </c>
    </row>
    <row r="28" spans="1:11">
      <c r="A28" s="1">
        <v>45678</v>
      </c>
      <c r="B28" t="s">
        <v>8</v>
      </c>
      <c r="D28" t="s">
        <v>17</v>
      </c>
      <c r="E28" t="s">
        <v>17</v>
      </c>
      <c r="F28" t="s">
        <v>14</v>
      </c>
      <c r="G28">
        <v>11212</v>
      </c>
      <c r="H28" t="s">
        <v>15</v>
      </c>
      <c r="I28" t="str">
        <f>TEXT(FinanceData[[#This Row],[Date]],"dddd")</f>
        <v>Tuesday</v>
      </c>
      <c r="J28" t="str">
        <f>IF(OR(FinanceData[[#This Row],[Day]]="Saturday",FinanceData[[#This Row],[Day]]="Sunday"),"Weekend","Weekday")</f>
        <v>Weekday</v>
      </c>
      <c r="K28">
        <f>YEAR(FinanceData[[#This Row],[Date]])</f>
        <v>2025</v>
      </c>
    </row>
    <row r="29" spans="1:11">
      <c r="A29" s="1">
        <v>45679</v>
      </c>
      <c r="B29" t="s">
        <v>8</v>
      </c>
      <c r="D29" t="s">
        <v>25</v>
      </c>
      <c r="E29" t="s">
        <v>25</v>
      </c>
      <c r="F29" t="s">
        <v>14</v>
      </c>
      <c r="G29">
        <v>5191</v>
      </c>
      <c r="H29" t="s">
        <v>12</v>
      </c>
      <c r="I29" t="str">
        <f>TEXT(FinanceData[[#This Row],[Date]],"dddd")</f>
        <v>Wednesday</v>
      </c>
      <c r="J29" t="str">
        <f>IF(OR(FinanceData[[#This Row],[Day]]="Saturday",FinanceData[[#This Row],[Day]]="Sunday"),"Weekend","Weekday")</f>
        <v>Weekday</v>
      </c>
      <c r="K29">
        <f>YEAR(FinanceData[[#This Row],[Date]])</f>
        <v>2025</v>
      </c>
    </row>
    <row r="30" spans="1:11">
      <c r="A30" s="1">
        <v>45680</v>
      </c>
      <c r="B30" t="s">
        <v>8</v>
      </c>
      <c r="C30" t="s">
        <v>20</v>
      </c>
      <c r="E30" t="s">
        <v>20</v>
      </c>
      <c r="F30" t="s">
        <v>11</v>
      </c>
      <c r="G30">
        <v>168227</v>
      </c>
      <c r="H30" t="s">
        <v>12</v>
      </c>
      <c r="I30" t="str">
        <f>TEXT(FinanceData[[#This Row],[Date]],"dddd")</f>
        <v>Thursday</v>
      </c>
      <c r="J30" t="str">
        <f>IF(OR(FinanceData[[#This Row],[Day]]="Saturday",FinanceData[[#This Row],[Day]]="Sunday"),"Weekend","Weekday")</f>
        <v>Weekday</v>
      </c>
      <c r="K30">
        <f>YEAR(FinanceData[[#This Row],[Date]])</f>
        <v>2025</v>
      </c>
    </row>
    <row r="31" spans="1:11">
      <c r="A31" s="1">
        <v>45680</v>
      </c>
      <c r="B31" t="s">
        <v>8</v>
      </c>
      <c r="D31" t="s">
        <v>22</v>
      </c>
      <c r="E31" t="s">
        <v>22</v>
      </c>
      <c r="F31" t="s">
        <v>14</v>
      </c>
      <c r="G31">
        <v>60470</v>
      </c>
      <c r="H31" t="s">
        <v>19</v>
      </c>
      <c r="I31" t="str">
        <f>TEXT(FinanceData[[#This Row],[Date]],"dddd")</f>
        <v>Thursday</v>
      </c>
      <c r="J31" t="str">
        <f>IF(OR(FinanceData[[#This Row],[Day]]="Saturday",FinanceData[[#This Row],[Day]]="Sunday"),"Weekend","Weekday")</f>
        <v>Weekday</v>
      </c>
      <c r="K31">
        <f>YEAR(FinanceData[[#This Row],[Date]])</f>
        <v>2025</v>
      </c>
    </row>
    <row r="32" spans="1:11">
      <c r="A32" s="1">
        <v>45681</v>
      </c>
      <c r="B32" t="s">
        <v>8</v>
      </c>
      <c r="D32" t="s">
        <v>30</v>
      </c>
      <c r="E32" t="s">
        <v>30</v>
      </c>
      <c r="F32" t="s">
        <v>14</v>
      </c>
      <c r="G32">
        <v>4697</v>
      </c>
      <c r="H32" t="s">
        <v>24</v>
      </c>
      <c r="I32" t="str">
        <f>TEXT(FinanceData[[#This Row],[Date]],"dddd")</f>
        <v>Friday</v>
      </c>
      <c r="J32" t="str">
        <f>IF(OR(FinanceData[[#This Row],[Day]]="Saturday",FinanceData[[#This Row],[Day]]="Sunday"),"Weekend","Weekday")</f>
        <v>Weekday</v>
      </c>
      <c r="K32">
        <f>YEAR(FinanceData[[#This Row],[Date]])</f>
        <v>2025</v>
      </c>
    </row>
    <row r="33" spans="1:11">
      <c r="A33" s="1">
        <v>45682</v>
      </c>
      <c r="B33" t="s">
        <v>8</v>
      </c>
      <c r="D33" t="s">
        <v>29</v>
      </c>
      <c r="E33" t="s">
        <v>29</v>
      </c>
      <c r="F33" t="s">
        <v>14</v>
      </c>
      <c r="G33">
        <v>9698</v>
      </c>
      <c r="H33" t="s">
        <v>24</v>
      </c>
      <c r="I33" t="str">
        <f>TEXT(FinanceData[[#This Row],[Date]],"dddd")</f>
        <v>Saturday</v>
      </c>
      <c r="J33" t="str">
        <f>IF(OR(FinanceData[[#This Row],[Day]]="Saturday",FinanceData[[#This Row],[Day]]="Sunday"),"Weekend","Weekday")</f>
        <v>Weekend</v>
      </c>
      <c r="K33">
        <f>YEAR(FinanceData[[#This Row],[Date]])</f>
        <v>2025</v>
      </c>
    </row>
    <row r="34" spans="1:11">
      <c r="A34" s="1">
        <v>45683</v>
      </c>
      <c r="B34" t="s">
        <v>8</v>
      </c>
      <c r="D34" t="s">
        <v>13</v>
      </c>
      <c r="E34" t="s">
        <v>13</v>
      </c>
      <c r="F34" t="s">
        <v>14</v>
      </c>
      <c r="G34">
        <v>3867</v>
      </c>
      <c r="H34" t="s">
        <v>24</v>
      </c>
      <c r="I34" t="str">
        <f>TEXT(FinanceData[[#This Row],[Date]],"dddd")</f>
        <v>Sunday</v>
      </c>
      <c r="J34" t="str">
        <f>IF(OR(FinanceData[[#This Row],[Day]]="Saturday",FinanceData[[#This Row],[Day]]="Sunday"),"Weekend","Weekday")</f>
        <v>Weekend</v>
      </c>
      <c r="K34">
        <f>YEAR(FinanceData[[#This Row],[Date]])</f>
        <v>2025</v>
      </c>
    </row>
    <row r="35" spans="1:11">
      <c r="A35" s="1">
        <v>45684</v>
      </c>
      <c r="B35" t="s">
        <v>8</v>
      </c>
      <c r="C35" t="s">
        <v>31</v>
      </c>
      <c r="E35" t="s">
        <v>31</v>
      </c>
      <c r="F35" t="s">
        <v>11</v>
      </c>
      <c r="G35">
        <v>136454</v>
      </c>
      <c r="H35" t="s">
        <v>12</v>
      </c>
      <c r="I35" t="str">
        <f>TEXT(FinanceData[[#This Row],[Date]],"dddd")</f>
        <v>Monday</v>
      </c>
      <c r="J35" t="str">
        <f>IF(OR(FinanceData[[#This Row],[Day]]="Saturday",FinanceData[[#This Row],[Day]]="Sunday"),"Weekend","Weekday")</f>
        <v>Weekday</v>
      </c>
      <c r="K35">
        <f>YEAR(FinanceData[[#This Row],[Date]])</f>
        <v>2025</v>
      </c>
    </row>
    <row r="36" spans="1:11">
      <c r="A36" s="1">
        <v>45684</v>
      </c>
      <c r="B36" t="s">
        <v>8</v>
      </c>
      <c r="D36" t="s">
        <v>27</v>
      </c>
      <c r="E36" t="s">
        <v>27</v>
      </c>
      <c r="F36" t="s">
        <v>14</v>
      </c>
      <c r="G36">
        <v>15928</v>
      </c>
      <c r="H36" t="s">
        <v>12</v>
      </c>
      <c r="I36" t="str">
        <f>TEXT(FinanceData[[#This Row],[Date]],"dddd")</f>
        <v>Monday</v>
      </c>
      <c r="J36" t="str">
        <f>IF(OR(FinanceData[[#This Row],[Day]]="Saturday",FinanceData[[#This Row],[Day]]="Sunday"),"Weekend","Weekday")</f>
        <v>Weekday</v>
      </c>
      <c r="K36">
        <f>YEAR(FinanceData[[#This Row],[Date]])</f>
        <v>2025</v>
      </c>
    </row>
    <row r="37" spans="1:11">
      <c r="A37" s="1">
        <v>45685</v>
      </c>
      <c r="B37" t="s">
        <v>8</v>
      </c>
      <c r="D37" t="s">
        <v>17</v>
      </c>
      <c r="E37" t="s">
        <v>17</v>
      </c>
      <c r="F37" t="s">
        <v>14</v>
      </c>
      <c r="G37">
        <v>3094</v>
      </c>
      <c r="H37" t="s">
        <v>15</v>
      </c>
      <c r="I37" t="str">
        <f>TEXT(FinanceData[[#This Row],[Date]],"dddd")</f>
        <v>Tuesday</v>
      </c>
      <c r="J37" t="str">
        <f>IF(OR(FinanceData[[#This Row],[Day]]="Saturday",FinanceData[[#This Row],[Day]]="Sunday"),"Weekend","Weekday")</f>
        <v>Weekday</v>
      </c>
      <c r="K37">
        <f>YEAR(FinanceData[[#This Row],[Date]])</f>
        <v>2025</v>
      </c>
    </row>
    <row r="38" spans="1:11">
      <c r="A38" s="1">
        <v>45686</v>
      </c>
      <c r="B38" t="s">
        <v>8</v>
      </c>
      <c r="D38" t="s">
        <v>32</v>
      </c>
      <c r="E38" t="s">
        <v>32</v>
      </c>
      <c r="F38" t="s">
        <v>14</v>
      </c>
      <c r="G38">
        <v>3144</v>
      </c>
      <c r="H38" t="s">
        <v>24</v>
      </c>
      <c r="I38" t="str">
        <f>TEXT(FinanceData[[#This Row],[Date]],"dddd")</f>
        <v>Wednesday</v>
      </c>
      <c r="J38" t="str">
        <f>IF(OR(FinanceData[[#This Row],[Day]]="Saturday",FinanceData[[#This Row],[Day]]="Sunday"),"Weekend","Weekday")</f>
        <v>Weekday</v>
      </c>
      <c r="K38">
        <f>YEAR(FinanceData[[#This Row],[Date]])</f>
        <v>2025</v>
      </c>
    </row>
    <row r="39" spans="1:11">
      <c r="A39" s="1">
        <v>45687</v>
      </c>
      <c r="B39" t="s">
        <v>8</v>
      </c>
      <c r="D39" t="s">
        <v>21</v>
      </c>
      <c r="E39" t="s">
        <v>21</v>
      </c>
      <c r="F39" t="s">
        <v>14</v>
      </c>
      <c r="G39">
        <v>6522</v>
      </c>
      <c r="H39" t="s">
        <v>15</v>
      </c>
      <c r="I39" t="str">
        <f>TEXT(FinanceData[[#This Row],[Date]],"dddd")</f>
        <v>Thursday</v>
      </c>
      <c r="J39" t="str">
        <f>IF(OR(FinanceData[[#This Row],[Day]]="Saturday",FinanceData[[#This Row],[Day]]="Sunday"),"Weekend","Weekday")</f>
        <v>Weekday</v>
      </c>
      <c r="K39">
        <f>YEAR(FinanceData[[#This Row],[Date]])</f>
        <v>2025</v>
      </c>
    </row>
    <row r="40" spans="1:11">
      <c r="A40" s="1">
        <v>45688</v>
      </c>
      <c r="B40" t="s">
        <v>8</v>
      </c>
      <c r="D40" t="s">
        <v>22</v>
      </c>
      <c r="E40" t="s">
        <v>22</v>
      </c>
      <c r="F40" t="s">
        <v>14</v>
      </c>
      <c r="G40">
        <v>67261</v>
      </c>
      <c r="H40" t="s">
        <v>15</v>
      </c>
      <c r="I40" t="str">
        <f>TEXT(FinanceData[[#This Row],[Date]],"dddd")</f>
        <v>Friday</v>
      </c>
      <c r="J40" t="str">
        <f>IF(OR(FinanceData[[#This Row],[Day]]="Saturday",FinanceData[[#This Row],[Day]]="Sunday"),"Weekend","Weekday")</f>
        <v>Weekday</v>
      </c>
      <c r="K40">
        <f>YEAR(FinanceData[[#This Row],[Date]])</f>
        <v>2025</v>
      </c>
    </row>
    <row r="41" spans="1:11">
      <c r="A41" s="1">
        <v>45689</v>
      </c>
      <c r="B41" t="s">
        <v>33</v>
      </c>
      <c r="C41" t="s">
        <v>9</v>
      </c>
      <c r="E41" t="s">
        <v>10</v>
      </c>
      <c r="F41" t="s">
        <v>11</v>
      </c>
      <c r="G41">
        <v>450000</v>
      </c>
      <c r="H41" t="s">
        <v>12</v>
      </c>
      <c r="I41" t="str">
        <f>TEXT(FinanceData[[#This Row],[Date]],"dddd")</f>
        <v>Saturday</v>
      </c>
      <c r="J41" t="str">
        <f>IF(OR(FinanceData[[#This Row],[Day]]="Saturday",FinanceData[[#This Row],[Day]]="Sunday"),"Weekend","Weekday")</f>
        <v>Weekend</v>
      </c>
      <c r="K41">
        <f>YEAR(FinanceData[[#This Row],[Date]])</f>
        <v>2025</v>
      </c>
    </row>
    <row r="42" spans="1:11">
      <c r="A42" s="1">
        <v>45689</v>
      </c>
      <c r="B42" t="s">
        <v>33</v>
      </c>
      <c r="D42" t="s">
        <v>30</v>
      </c>
      <c r="E42" t="s">
        <v>30</v>
      </c>
      <c r="F42" t="s">
        <v>14</v>
      </c>
      <c r="G42">
        <v>4592</v>
      </c>
      <c r="H42" t="s">
        <v>24</v>
      </c>
      <c r="I42" t="str">
        <f>TEXT(FinanceData[[#This Row],[Date]],"dddd")</f>
        <v>Saturday</v>
      </c>
      <c r="J42" t="str">
        <f>IF(OR(FinanceData[[#This Row],[Day]]="Saturday",FinanceData[[#This Row],[Day]]="Sunday"),"Weekend","Weekday")</f>
        <v>Weekend</v>
      </c>
      <c r="K42">
        <f>YEAR(FinanceData[[#This Row],[Date]])</f>
        <v>2025</v>
      </c>
    </row>
    <row r="43" spans="1:11">
      <c r="A43" s="1">
        <v>45690</v>
      </c>
      <c r="B43" t="s">
        <v>33</v>
      </c>
      <c r="D43" t="s">
        <v>18</v>
      </c>
      <c r="E43" t="s">
        <v>18</v>
      </c>
      <c r="F43" t="s">
        <v>14</v>
      </c>
      <c r="G43">
        <v>3579</v>
      </c>
      <c r="H43" t="s">
        <v>12</v>
      </c>
      <c r="I43" t="str">
        <f>TEXT(FinanceData[[#This Row],[Date]],"dddd")</f>
        <v>Sunday</v>
      </c>
      <c r="J43" t="str">
        <f>IF(OR(FinanceData[[#This Row],[Day]]="Saturday",FinanceData[[#This Row],[Day]]="Sunday"),"Weekend","Weekday")</f>
        <v>Weekend</v>
      </c>
      <c r="K43">
        <f>YEAR(FinanceData[[#This Row],[Date]])</f>
        <v>2025</v>
      </c>
    </row>
    <row r="44" spans="1:11">
      <c r="A44" s="1">
        <v>45691</v>
      </c>
      <c r="B44" t="s">
        <v>33</v>
      </c>
      <c r="D44" t="s">
        <v>30</v>
      </c>
      <c r="E44" t="s">
        <v>30</v>
      </c>
      <c r="F44" t="s">
        <v>14</v>
      </c>
      <c r="G44">
        <v>3429</v>
      </c>
      <c r="H44" t="s">
        <v>12</v>
      </c>
      <c r="I44" t="str">
        <f>TEXT(FinanceData[[#This Row],[Date]],"dddd")</f>
        <v>Monday</v>
      </c>
      <c r="J44" t="str">
        <f>IF(OR(FinanceData[[#This Row],[Day]]="Saturday",FinanceData[[#This Row],[Day]]="Sunday"),"Weekend","Weekday")</f>
        <v>Weekday</v>
      </c>
      <c r="K44">
        <f>YEAR(FinanceData[[#This Row],[Date]])</f>
        <v>2025</v>
      </c>
    </row>
    <row r="45" spans="1:11">
      <c r="A45" s="1">
        <v>45692</v>
      </c>
      <c r="B45" t="s">
        <v>33</v>
      </c>
      <c r="D45" t="s">
        <v>26</v>
      </c>
      <c r="E45" t="s">
        <v>26</v>
      </c>
      <c r="F45" t="s">
        <v>14</v>
      </c>
      <c r="G45">
        <v>6890</v>
      </c>
      <c r="H45" t="s">
        <v>24</v>
      </c>
      <c r="I45" t="str">
        <f>TEXT(FinanceData[[#This Row],[Date]],"dddd")</f>
        <v>Tuesday</v>
      </c>
      <c r="J45" t="str">
        <f>IF(OR(FinanceData[[#This Row],[Day]]="Saturday",FinanceData[[#This Row],[Day]]="Sunday"),"Weekend","Weekday")</f>
        <v>Weekday</v>
      </c>
      <c r="K45">
        <f>YEAR(FinanceData[[#This Row],[Date]])</f>
        <v>2025</v>
      </c>
    </row>
    <row r="46" spans="1:11">
      <c r="A46" s="1">
        <v>45693</v>
      </c>
      <c r="B46" t="s">
        <v>33</v>
      </c>
      <c r="C46" t="s">
        <v>28</v>
      </c>
      <c r="E46" t="s">
        <v>28</v>
      </c>
      <c r="F46" t="s">
        <v>11</v>
      </c>
      <c r="G46">
        <v>82511</v>
      </c>
      <c r="H46" t="s">
        <v>12</v>
      </c>
      <c r="I46" t="str">
        <f>TEXT(FinanceData[[#This Row],[Date]],"dddd")</f>
        <v>Wednesday</v>
      </c>
      <c r="J46" t="str">
        <f>IF(OR(FinanceData[[#This Row],[Day]]="Saturday",FinanceData[[#This Row],[Day]]="Sunday"),"Weekend","Weekday")</f>
        <v>Weekday</v>
      </c>
      <c r="K46">
        <f>YEAR(FinanceData[[#This Row],[Date]])</f>
        <v>2025</v>
      </c>
    </row>
    <row r="47" spans="1:11">
      <c r="A47" s="1">
        <v>45693</v>
      </c>
      <c r="B47" t="s">
        <v>33</v>
      </c>
      <c r="D47" t="s">
        <v>34</v>
      </c>
      <c r="E47" t="s">
        <v>34</v>
      </c>
      <c r="F47" t="s">
        <v>14</v>
      </c>
      <c r="G47">
        <v>18738</v>
      </c>
      <c r="H47" t="s">
        <v>24</v>
      </c>
      <c r="I47" t="str">
        <f>TEXT(FinanceData[[#This Row],[Date]],"dddd")</f>
        <v>Wednesday</v>
      </c>
      <c r="J47" t="str">
        <f>IF(OR(FinanceData[[#This Row],[Day]]="Saturday",FinanceData[[#This Row],[Day]]="Sunday"),"Weekend","Weekday")</f>
        <v>Weekday</v>
      </c>
      <c r="K47">
        <f>YEAR(FinanceData[[#This Row],[Date]])</f>
        <v>2025</v>
      </c>
    </row>
    <row r="48" spans="1:11">
      <c r="A48" s="1">
        <v>45694</v>
      </c>
      <c r="B48" t="s">
        <v>33</v>
      </c>
      <c r="D48" t="s">
        <v>13</v>
      </c>
      <c r="E48" t="s">
        <v>13</v>
      </c>
      <c r="F48" t="s">
        <v>14</v>
      </c>
      <c r="G48">
        <v>10000</v>
      </c>
      <c r="H48" t="s">
        <v>19</v>
      </c>
      <c r="I48" t="str">
        <f>TEXT(FinanceData[[#This Row],[Date]],"dddd")</f>
        <v>Thursday</v>
      </c>
      <c r="J48" t="str">
        <f>IF(OR(FinanceData[[#This Row],[Day]]="Saturday",FinanceData[[#This Row],[Day]]="Sunday"),"Weekend","Weekday")</f>
        <v>Weekday</v>
      </c>
      <c r="K48">
        <f>YEAR(FinanceData[[#This Row],[Date]])</f>
        <v>2025</v>
      </c>
    </row>
    <row r="49" spans="1:11">
      <c r="A49" s="1">
        <v>45695</v>
      </c>
      <c r="B49" t="s">
        <v>33</v>
      </c>
      <c r="D49" t="s">
        <v>25</v>
      </c>
      <c r="E49" t="s">
        <v>25</v>
      </c>
      <c r="F49" t="s">
        <v>14</v>
      </c>
      <c r="G49">
        <v>6704</v>
      </c>
      <c r="H49" t="s">
        <v>15</v>
      </c>
      <c r="I49" t="str">
        <f>TEXT(FinanceData[[#This Row],[Date]],"dddd")</f>
        <v>Friday</v>
      </c>
      <c r="J49" t="str">
        <f>IF(OR(FinanceData[[#This Row],[Day]]="Saturday",FinanceData[[#This Row],[Day]]="Sunday"),"Weekend","Weekday")</f>
        <v>Weekday</v>
      </c>
      <c r="K49">
        <f>YEAR(FinanceData[[#This Row],[Date]])</f>
        <v>2025</v>
      </c>
    </row>
    <row r="50" spans="1:11">
      <c r="A50" s="1">
        <v>45696</v>
      </c>
      <c r="B50" t="s">
        <v>33</v>
      </c>
      <c r="C50" t="s">
        <v>28</v>
      </c>
      <c r="E50" t="s">
        <v>28</v>
      </c>
      <c r="F50" t="s">
        <v>11</v>
      </c>
      <c r="G50">
        <v>50747</v>
      </c>
      <c r="H50" t="s">
        <v>12</v>
      </c>
      <c r="I50" t="str">
        <f>TEXT(FinanceData[[#This Row],[Date]],"dddd")</f>
        <v>Saturday</v>
      </c>
      <c r="J50" t="str">
        <f>IF(OR(FinanceData[[#This Row],[Day]]="Saturday",FinanceData[[#This Row],[Day]]="Sunday"),"Weekend","Weekday")</f>
        <v>Weekend</v>
      </c>
      <c r="K50">
        <f>YEAR(FinanceData[[#This Row],[Date]])</f>
        <v>2025</v>
      </c>
    </row>
    <row r="51" spans="1:11">
      <c r="A51" s="1">
        <v>45696</v>
      </c>
      <c r="B51" t="s">
        <v>33</v>
      </c>
      <c r="D51" t="s">
        <v>25</v>
      </c>
      <c r="E51" t="s">
        <v>25</v>
      </c>
      <c r="F51" t="s">
        <v>14</v>
      </c>
      <c r="G51">
        <v>2343</v>
      </c>
      <c r="H51" t="s">
        <v>19</v>
      </c>
      <c r="I51" t="str">
        <f>TEXT(FinanceData[[#This Row],[Date]],"dddd")</f>
        <v>Saturday</v>
      </c>
      <c r="J51" t="str">
        <f>IF(OR(FinanceData[[#This Row],[Day]]="Saturday",FinanceData[[#This Row],[Day]]="Sunday"),"Weekend","Weekday")</f>
        <v>Weekend</v>
      </c>
      <c r="K51">
        <f>YEAR(FinanceData[[#This Row],[Date]])</f>
        <v>2025</v>
      </c>
    </row>
    <row r="52" spans="1:11">
      <c r="A52" s="1">
        <v>45697</v>
      </c>
      <c r="B52" t="s">
        <v>33</v>
      </c>
      <c r="D52" t="s">
        <v>27</v>
      </c>
      <c r="E52" t="s">
        <v>27</v>
      </c>
      <c r="F52" t="s">
        <v>14</v>
      </c>
      <c r="G52">
        <v>8379</v>
      </c>
      <c r="H52" t="s">
        <v>12</v>
      </c>
      <c r="I52" t="str">
        <f>TEXT(FinanceData[[#This Row],[Date]],"dddd")</f>
        <v>Sunday</v>
      </c>
      <c r="J52" t="str">
        <f>IF(OR(FinanceData[[#This Row],[Day]]="Saturday",FinanceData[[#This Row],[Day]]="Sunday"),"Weekend","Weekday")</f>
        <v>Weekend</v>
      </c>
      <c r="K52">
        <f>YEAR(FinanceData[[#This Row],[Date]])</f>
        <v>2025</v>
      </c>
    </row>
    <row r="53" spans="1:11">
      <c r="A53" s="1">
        <v>45698</v>
      </c>
      <c r="B53" t="s">
        <v>33</v>
      </c>
      <c r="D53" t="s">
        <v>22</v>
      </c>
      <c r="E53" t="s">
        <v>22</v>
      </c>
      <c r="F53" t="s">
        <v>14</v>
      </c>
      <c r="G53">
        <v>74740</v>
      </c>
      <c r="H53" t="s">
        <v>24</v>
      </c>
      <c r="I53" t="str">
        <f>TEXT(FinanceData[[#This Row],[Date]],"dddd")</f>
        <v>Monday</v>
      </c>
      <c r="J53" t="str">
        <f>IF(OR(FinanceData[[#This Row],[Day]]="Saturday",FinanceData[[#This Row],[Day]]="Sunday"),"Weekend","Weekday")</f>
        <v>Weekday</v>
      </c>
      <c r="K53">
        <f>YEAR(FinanceData[[#This Row],[Date]])</f>
        <v>2025</v>
      </c>
    </row>
    <row r="54" spans="1:11">
      <c r="A54" s="1">
        <v>45699</v>
      </c>
      <c r="B54" t="s">
        <v>33</v>
      </c>
      <c r="C54" t="s">
        <v>20</v>
      </c>
      <c r="E54" t="s">
        <v>20</v>
      </c>
      <c r="F54" t="s">
        <v>11</v>
      </c>
      <c r="G54">
        <v>43453</v>
      </c>
      <c r="H54" t="s">
        <v>12</v>
      </c>
      <c r="I54" t="str">
        <f>TEXT(FinanceData[[#This Row],[Date]],"dddd")</f>
        <v>Tuesday</v>
      </c>
      <c r="J54" t="str">
        <f>IF(OR(FinanceData[[#This Row],[Day]]="Saturday",FinanceData[[#This Row],[Day]]="Sunday"),"Weekend","Weekday")</f>
        <v>Weekday</v>
      </c>
      <c r="K54">
        <f>YEAR(FinanceData[[#This Row],[Date]])</f>
        <v>2025</v>
      </c>
    </row>
    <row r="55" spans="1:11">
      <c r="A55" s="1">
        <v>45699</v>
      </c>
      <c r="B55" t="s">
        <v>33</v>
      </c>
      <c r="D55" t="s">
        <v>29</v>
      </c>
      <c r="E55" t="s">
        <v>29</v>
      </c>
      <c r="F55" t="s">
        <v>14</v>
      </c>
      <c r="G55">
        <v>8775</v>
      </c>
      <c r="H55" t="s">
        <v>19</v>
      </c>
      <c r="I55" t="str">
        <f>TEXT(FinanceData[[#This Row],[Date]],"dddd")</f>
        <v>Tuesday</v>
      </c>
      <c r="J55" t="str">
        <f>IF(OR(FinanceData[[#This Row],[Day]]="Saturday",FinanceData[[#This Row],[Day]]="Sunday"),"Weekend","Weekday")</f>
        <v>Weekday</v>
      </c>
      <c r="K55">
        <f>YEAR(FinanceData[[#This Row],[Date]])</f>
        <v>2025</v>
      </c>
    </row>
    <row r="56" spans="1:11">
      <c r="A56" s="1">
        <v>45700</v>
      </c>
      <c r="B56" t="s">
        <v>33</v>
      </c>
      <c r="D56" t="s">
        <v>22</v>
      </c>
      <c r="E56" t="s">
        <v>22</v>
      </c>
      <c r="F56" t="s">
        <v>14</v>
      </c>
      <c r="G56">
        <v>67421</v>
      </c>
      <c r="H56" t="s">
        <v>15</v>
      </c>
      <c r="I56" t="str">
        <f>TEXT(FinanceData[[#This Row],[Date]],"dddd")</f>
        <v>Wednesday</v>
      </c>
      <c r="J56" t="str">
        <f>IF(OR(FinanceData[[#This Row],[Day]]="Saturday",FinanceData[[#This Row],[Day]]="Sunday"),"Weekend","Weekday")</f>
        <v>Weekday</v>
      </c>
      <c r="K56">
        <f>YEAR(FinanceData[[#This Row],[Date]])</f>
        <v>2025</v>
      </c>
    </row>
    <row r="57" spans="1:11">
      <c r="A57" s="1">
        <v>45701</v>
      </c>
      <c r="B57" t="s">
        <v>33</v>
      </c>
      <c r="C57" t="s">
        <v>28</v>
      </c>
      <c r="E57" t="s">
        <v>28</v>
      </c>
      <c r="F57" t="s">
        <v>11</v>
      </c>
      <c r="G57">
        <v>47299</v>
      </c>
      <c r="H57" t="s">
        <v>12</v>
      </c>
      <c r="I57" t="str">
        <f>TEXT(FinanceData[[#This Row],[Date]],"dddd")</f>
        <v>Thursday</v>
      </c>
      <c r="J57" t="str">
        <f>IF(OR(FinanceData[[#This Row],[Day]]="Saturday",FinanceData[[#This Row],[Day]]="Sunday"),"Weekend","Weekday")</f>
        <v>Weekday</v>
      </c>
      <c r="K57">
        <f>YEAR(FinanceData[[#This Row],[Date]])</f>
        <v>2025</v>
      </c>
    </row>
    <row r="58" spans="1:11">
      <c r="A58" s="1">
        <v>45701</v>
      </c>
      <c r="B58" t="s">
        <v>33</v>
      </c>
      <c r="D58" t="s">
        <v>30</v>
      </c>
      <c r="E58" t="s">
        <v>30</v>
      </c>
      <c r="F58" t="s">
        <v>14</v>
      </c>
      <c r="G58">
        <v>2117</v>
      </c>
      <c r="H58" t="s">
        <v>24</v>
      </c>
      <c r="I58" t="str">
        <f>TEXT(FinanceData[[#This Row],[Date]],"dddd")</f>
        <v>Thursday</v>
      </c>
      <c r="J58" t="str">
        <f>IF(OR(FinanceData[[#This Row],[Day]]="Saturday",FinanceData[[#This Row],[Day]]="Sunday"),"Weekend","Weekday")</f>
        <v>Weekday</v>
      </c>
      <c r="K58">
        <f>YEAR(FinanceData[[#This Row],[Date]])</f>
        <v>2025</v>
      </c>
    </row>
    <row r="59" spans="1:11">
      <c r="A59" s="1">
        <v>45702</v>
      </c>
      <c r="B59" t="s">
        <v>33</v>
      </c>
      <c r="D59" t="s">
        <v>30</v>
      </c>
      <c r="E59" t="s">
        <v>30</v>
      </c>
      <c r="F59" t="s">
        <v>14</v>
      </c>
      <c r="G59">
        <v>5640</v>
      </c>
      <c r="H59" t="s">
        <v>24</v>
      </c>
      <c r="I59" t="str">
        <f>TEXT(FinanceData[[#This Row],[Date]],"dddd")</f>
        <v>Friday</v>
      </c>
      <c r="J59" t="str">
        <f>IF(OR(FinanceData[[#This Row],[Day]]="Saturday",FinanceData[[#This Row],[Day]]="Sunday"),"Weekend","Weekday")</f>
        <v>Weekday</v>
      </c>
      <c r="K59">
        <f>YEAR(FinanceData[[#This Row],[Date]])</f>
        <v>2025</v>
      </c>
    </row>
    <row r="60" spans="1:11">
      <c r="A60" s="1">
        <v>45703</v>
      </c>
      <c r="B60" t="s">
        <v>33</v>
      </c>
      <c r="D60" t="s">
        <v>22</v>
      </c>
      <c r="E60" t="s">
        <v>22</v>
      </c>
      <c r="F60" t="s">
        <v>14</v>
      </c>
      <c r="G60">
        <v>79625</v>
      </c>
      <c r="H60" t="s">
        <v>12</v>
      </c>
      <c r="I60" t="str">
        <f>TEXT(FinanceData[[#This Row],[Date]],"dddd")</f>
        <v>Saturday</v>
      </c>
      <c r="J60" t="str">
        <f>IF(OR(FinanceData[[#This Row],[Day]]="Saturday",FinanceData[[#This Row],[Day]]="Sunday"),"Weekend","Weekday")</f>
        <v>Weekend</v>
      </c>
      <c r="K60">
        <f>YEAR(FinanceData[[#This Row],[Date]])</f>
        <v>2025</v>
      </c>
    </row>
    <row r="61" spans="1:11">
      <c r="A61" s="1">
        <v>45704</v>
      </c>
      <c r="B61" t="s">
        <v>33</v>
      </c>
      <c r="D61" t="s">
        <v>17</v>
      </c>
      <c r="E61" t="s">
        <v>17</v>
      </c>
      <c r="F61" t="s">
        <v>14</v>
      </c>
      <c r="G61">
        <v>7380</v>
      </c>
      <c r="H61" t="s">
        <v>15</v>
      </c>
      <c r="I61" t="str">
        <f>TEXT(FinanceData[[#This Row],[Date]],"dddd")</f>
        <v>Sunday</v>
      </c>
      <c r="J61" t="str">
        <f>IF(OR(FinanceData[[#This Row],[Day]]="Saturday",FinanceData[[#This Row],[Day]]="Sunday"),"Weekend","Weekday")</f>
        <v>Weekend</v>
      </c>
      <c r="K61">
        <f>YEAR(FinanceData[[#This Row],[Date]])</f>
        <v>2025</v>
      </c>
    </row>
    <row r="62" spans="1:11">
      <c r="A62" s="1">
        <v>45705</v>
      </c>
      <c r="B62" t="s">
        <v>33</v>
      </c>
      <c r="D62" t="s">
        <v>22</v>
      </c>
      <c r="E62" t="s">
        <v>22</v>
      </c>
      <c r="F62" t="s">
        <v>14</v>
      </c>
      <c r="G62">
        <v>70942</v>
      </c>
      <c r="H62" t="s">
        <v>24</v>
      </c>
      <c r="I62" t="str">
        <f>TEXT(FinanceData[[#This Row],[Date]],"dddd")</f>
        <v>Monday</v>
      </c>
      <c r="J62" t="str">
        <f>IF(OR(FinanceData[[#This Row],[Day]]="Saturday",FinanceData[[#This Row],[Day]]="Sunday"),"Weekend","Weekday")</f>
        <v>Weekday</v>
      </c>
      <c r="K62">
        <f>YEAR(FinanceData[[#This Row],[Date]])</f>
        <v>2025</v>
      </c>
    </row>
    <row r="63" spans="1:11">
      <c r="A63" s="1">
        <v>45706</v>
      </c>
      <c r="B63" t="s">
        <v>33</v>
      </c>
      <c r="D63" t="s">
        <v>21</v>
      </c>
      <c r="E63" t="s">
        <v>21</v>
      </c>
      <c r="F63" t="s">
        <v>14</v>
      </c>
      <c r="G63">
        <v>5971</v>
      </c>
      <c r="H63" t="s">
        <v>15</v>
      </c>
      <c r="I63" t="str">
        <f>TEXT(FinanceData[[#This Row],[Date]],"dddd")</f>
        <v>Tuesday</v>
      </c>
      <c r="J63" t="str">
        <f>IF(OR(FinanceData[[#This Row],[Day]]="Saturday",FinanceData[[#This Row],[Day]]="Sunday"),"Weekend","Weekday")</f>
        <v>Weekday</v>
      </c>
      <c r="K63">
        <f>YEAR(FinanceData[[#This Row],[Date]])</f>
        <v>2025</v>
      </c>
    </row>
    <row r="64" spans="1:11">
      <c r="A64" s="1">
        <v>45707</v>
      </c>
      <c r="B64" t="s">
        <v>33</v>
      </c>
      <c r="D64" t="s">
        <v>17</v>
      </c>
      <c r="E64" t="s">
        <v>17</v>
      </c>
      <c r="F64" t="s">
        <v>14</v>
      </c>
      <c r="G64">
        <v>6200</v>
      </c>
      <c r="H64" t="s">
        <v>24</v>
      </c>
      <c r="I64" t="str">
        <f>TEXT(FinanceData[[#This Row],[Date]],"dddd")</f>
        <v>Wednesday</v>
      </c>
      <c r="J64" t="str">
        <f>IF(OR(FinanceData[[#This Row],[Day]]="Saturday",FinanceData[[#This Row],[Day]]="Sunday"),"Weekend","Weekday")</f>
        <v>Weekday</v>
      </c>
      <c r="K64">
        <f>YEAR(FinanceData[[#This Row],[Date]])</f>
        <v>2025</v>
      </c>
    </row>
    <row r="65" spans="1:11">
      <c r="A65" s="1">
        <v>45708</v>
      </c>
      <c r="B65" t="s">
        <v>33</v>
      </c>
      <c r="D65" t="s">
        <v>34</v>
      </c>
      <c r="E65" t="s">
        <v>34</v>
      </c>
      <c r="F65" t="s">
        <v>14</v>
      </c>
      <c r="G65">
        <v>19416</v>
      </c>
      <c r="H65" t="s">
        <v>12</v>
      </c>
      <c r="I65" t="str">
        <f>TEXT(FinanceData[[#This Row],[Date]],"dddd")</f>
        <v>Thursday</v>
      </c>
      <c r="J65" t="str">
        <f>IF(OR(FinanceData[[#This Row],[Day]]="Saturday",FinanceData[[#This Row],[Day]]="Sunday"),"Weekend","Weekday")</f>
        <v>Weekday</v>
      </c>
      <c r="K65">
        <f>YEAR(FinanceData[[#This Row],[Date]])</f>
        <v>2025</v>
      </c>
    </row>
    <row r="66" spans="1:11">
      <c r="A66" s="1">
        <v>45709</v>
      </c>
      <c r="B66" t="s">
        <v>33</v>
      </c>
      <c r="D66" t="s">
        <v>25</v>
      </c>
      <c r="E66" t="s">
        <v>25</v>
      </c>
      <c r="F66" t="s">
        <v>14</v>
      </c>
      <c r="G66">
        <v>3005</v>
      </c>
      <c r="H66" t="s">
        <v>15</v>
      </c>
      <c r="I66" t="str">
        <f>TEXT(FinanceData[[#This Row],[Date]],"dddd")</f>
        <v>Friday</v>
      </c>
      <c r="J66" t="str">
        <f>IF(OR(FinanceData[[#This Row],[Day]]="Saturday",FinanceData[[#This Row],[Day]]="Sunday"),"Weekend","Weekday")</f>
        <v>Weekday</v>
      </c>
      <c r="K66">
        <f>YEAR(FinanceData[[#This Row],[Date]])</f>
        <v>2025</v>
      </c>
    </row>
    <row r="67" spans="1:11">
      <c r="A67" s="1">
        <v>45710</v>
      </c>
      <c r="B67" t="s">
        <v>33</v>
      </c>
      <c r="D67" t="s">
        <v>34</v>
      </c>
      <c r="E67" t="s">
        <v>34</v>
      </c>
      <c r="F67" t="s">
        <v>14</v>
      </c>
      <c r="G67">
        <v>17919</v>
      </c>
      <c r="H67" t="s">
        <v>19</v>
      </c>
      <c r="I67" t="str">
        <f>TEXT(FinanceData[[#This Row],[Date]],"dddd")</f>
        <v>Saturday</v>
      </c>
      <c r="J67" t="str">
        <f>IF(OR(FinanceData[[#This Row],[Day]]="Saturday",FinanceData[[#This Row],[Day]]="Sunday"),"Weekend","Weekday")</f>
        <v>Weekend</v>
      </c>
      <c r="K67">
        <f>YEAR(FinanceData[[#This Row],[Date]])</f>
        <v>2025</v>
      </c>
    </row>
    <row r="68" spans="1:11">
      <c r="A68" s="1">
        <v>45711</v>
      </c>
      <c r="B68" t="s">
        <v>33</v>
      </c>
      <c r="D68" t="s">
        <v>13</v>
      </c>
      <c r="E68" t="s">
        <v>13</v>
      </c>
      <c r="F68" t="s">
        <v>14</v>
      </c>
      <c r="G68">
        <v>7954</v>
      </c>
      <c r="H68" t="s">
        <v>24</v>
      </c>
      <c r="I68" t="str">
        <f>TEXT(FinanceData[[#This Row],[Date]],"dddd")</f>
        <v>Sunday</v>
      </c>
      <c r="J68" t="str">
        <f>IF(OR(FinanceData[[#This Row],[Day]]="Saturday",FinanceData[[#This Row],[Day]]="Sunday"),"Weekend","Weekday")</f>
        <v>Weekend</v>
      </c>
      <c r="K68">
        <f>YEAR(FinanceData[[#This Row],[Date]])</f>
        <v>2025</v>
      </c>
    </row>
    <row r="69" spans="1:11">
      <c r="A69" s="1">
        <v>45712</v>
      </c>
      <c r="B69" t="s">
        <v>33</v>
      </c>
      <c r="D69" t="s">
        <v>29</v>
      </c>
      <c r="E69" t="s">
        <v>29</v>
      </c>
      <c r="F69" t="s">
        <v>14</v>
      </c>
      <c r="G69">
        <v>2410</v>
      </c>
      <c r="H69" t="s">
        <v>19</v>
      </c>
      <c r="I69" t="str">
        <f>TEXT(FinanceData[[#This Row],[Date]],"dddd")</f>
        <v>Monday</v>
      </c>
      <c r="J69" t="str">
        <f>IF(OR(FinanceData[[#This Row],[Day]]="Saturday",FinanceData[[#This Row],[Day]]="Sunday"),"Weekend","Weekday")</f>
        <v>Weekday</v>
      </c>
      <c r="K69">
        <f>YEAR(FinanceData[[#This Row],[Date]])</f>
        <v>2025</v>
      </c>
    </row>
    <row r="70" spans="1:11">
      <c r="A70" s="1">
        <v>45713</v>
      </c>
      <c r="B70" t="s">
        <v>33</v>
      </c>
      <c r="D70" t="s">
        <v>25</v>
      </c>
      <c r="E70" t="s">
        <v>25</v>
      </c>
      <c r="F70" t="s">
        <v>14</v>
      </c>
      <c r="G70">
        <v>2784</v>
      </c>
      <c r="H70" t="s">
        <v>15</v>
      </c>
      <c r="I70" t="str">
        <f>TEXT(FinanceData[[#This Row],[Date]],"dddd")</f>
        <v>Tuesday</v>
      </c>
      <c r="J70" t="str">
        <f>IF(OR(FinanceData[[#This Row],[Day]]="Saturday",FinanceData[[#This Row],[Day]]="Sunday"),"Weekend","Weekday")</f>
        <v>Weekday</v>
      </c>
      <c r="K70">
        <f>YEAR(FinanceData[[#This Row],[Date]])</f>
        <v>2025</v>
      </c>
    </row>
    <row r="71" spans="1:11">
      <c r="A71" s="1">
        <v>45714</v>
      </c>
      <c r="B71" t="s">
        <v>33</v>
      </c>
      <c r="D71" t="s">
        <v>29</v>
      </c>
      <c r="E71" t="s">
        <v>29</v>
      </c>
      <c r="F71" t="s">
        <v>14</v>
      </c>
      <c r="G71">
        <v>6842</v>
      </c>
      <c r="H71" t="s">
        <v>19</v>
      </c>
      <c r="I71" t="str">
        <f>TEXT(FinanceData[[#This Row],[Date]],"dddd")</f>
        <v>Wednesday</v>
      </c>
      <c r="J71" t="str">
        <f>IF(OR(FinanceData[[#This Row],[Day]]="Saturday",FinanceData[[#This Row],[Day]]="Sunday"),"Weekend","Weekday")</f>
        <v>Weekday</v>
      </c>
      <c r="K71">
        <f>YEAR(FinanceData[[#This Row],[Date]])</f>
        <v>2025</v>
      </c>
    </row>
    <row r="72" spans="1:11">
      <c r="A72" s="1">
        <v>45715</v>
      </c>
      <c r="B72" t="s">
        <v>33</v>
      </c>
      <c r="D72" t="s">
        <v>18</v>
      </c>
      <c r="E72" t="s">
        <v>18</v>
      </c>
      <c r="F72" t="s">
        <v>14</v>
      </c>
      <c r="G72">
        <v>11157</v>
      </c>
      <c r="H72" t="s">
        <v>15</v>
      </c>
      <c r="I72" t="str">
        <f>TEXT(FinanceData[[#This Row],[Date]],"dddd")</f>
        <v>Thursday</v>
      </c>
      <c r="J72" t="str">
        <f>IF(OR(FinanceData[[#This Row],[Day]]="Saturday",FinanceData[[#This Row],[Day]]="Sunday"),"Weekend","Weekday")</f>
        <v>Weekday</v>
      </c>
      <c r="K72">
        <f>YEAR(FinanceData[[#This Row],[Date]])</f>
        <v>2025</v>
      </c>
    </row>
    <row r="73" spans="1:11">
      <c r="A73" s="1">
        <v>45716</v>
      </c>
      <c r="B73" t="s">
        <v>33</v>
      </c>
      <c r="D73" t="s">
        <v>34</v>
      </c>
      <c r="E73" t="s">
        <v>34</v>
      </c>
      <c r="F73" t="s">
        <v>14</v>
      </c>
      <c r="G73">
        <v>23175</v>
      </c>
      <c r="H73" t="s">
        <v>15</v>
      </c>
      <c r="I73" t="str">
        <f>TEXT(FinanceData[[#This Row],[Date]],"dddd")</f>
        <v>Friday</v>
      </c>
      <c r="J73" t="str">
        <f>IF(OR(FinanceData[[#This Row],[Day]]="Saturday",FinanceData[[#This Row],[Day]]="Sunday"),"Weekend","Weekday")</f>
        <v>Weekday</v>
      </c>
      <c r="K73">
        <f>YEAR(FinanceData[[#This Row],[Date]])</f>
        <v>2025</v>
      </c>
    </row>
    <row r="74" spans="1:11">
      <c r="A74" s="1">
        <v>45717</v>
      </c>
      <c r="B74" t="s">
        <v>35</v>
      </c>
      <c r="C74" t="s">
        <v>9</v>
      </c>
      <c r="E74" t="s">
        <v>10</v>
      </c>
      <c r="F74" t="s">
        <v>11</v>
      </c>
      <c r="G74">
        <v>450000</v>
      </c>
      <c r="H74" t="s">
        <v>12</v>
      </c>
      <c r="I74" t="str">
        <f>TEXT(FinanceData[[#This Row],[Date]],"dddd")</f>
        <v>Saturday</v>
      </c>
      <c r="J74" t="str">
        <f>IF(OR(FinanceData[[#This Row],[Day]]="Saturday",FinanceData[[#This Row],[Day]]="Sunday"),"Weekend","Weekday")</f>
        <v>Weekend</v>
      </c>
      <c r="K74">
        <f>YEAR(FinanceData[[#This Row],[Date]])</f>
        <v>2025</v>
      </c>
    </row>
    <row r="75" spans="1:11">
      <c r="A75" s="1">
        <v>45717</v>
      </c>
      <c r="B75" t="s">
        <v>35</v>
      </c>
      <c r="D75" t="s">
        <v>32</v>
      </c>
      <c r="E75" t="s">
        <v>32</v>
      </c>
      <c r="F75" t="s">
        <v>14</v>
      </c>
      <c r="G75">
        <v>2104</v>
      </c>
      <c r="H75" t="s">
        <v>24</v>
      </c>
      <c r="I75" t="str">
        <f>TEXT(FinanceData[[#This Row],[Date]],"dddd")</f>
        <v>Saturday</v>
      </c>
      <c r="J75" t="str">
        <f>IF(OR(FinanceData[[#This Row],[Day]]="Saturday",FinanceData[[#This Row],[Day]]="Sunday"),"Weekend","Weekday")</f>
        <v>Weekend</v>
      </c>
      <c r="K75">
        <f>YEAR(FinanceData[[#This Row],[Date]])</f>
        <v>2025</v>
      </c>
    </row>
    <row r="76" spans="1:11">
      <c r="A76" s="1">
        <v>45718</v>
      </c>
      <c r="B76" t="s">
        <v>35</v>
      </c>
      <c r="D76" t="s">
        <v>29</v>
      </c>
      <c r="E76" t="s">
        <v>29</v>
      </c>
      <c r="F76" t="s">
        <v>14</v>
      </c>
      <c r="G76">
        <v>4996</v>
      </c>
      <c r="H76" t="s">
        <v>12</v>
      </c>
      <c r="I76" t="str">
        <f>TEXT(FinanceData[[#This Row],[Date]],"dddd")</f>
        <v>Sunday</v>
      </c>
      <c r="J76" t="str">
        <f>IF(OR(FinanceData[[#This Row],[Day]]="Saturday",FinanceData[[#This Row],[Day]]="Sunday"),"Weekend","Weekday")</f>
        <v>Weekend</v>
      </c>
      <c r="K76">
        <f>YEAR(FinanceData[[#This Row],[Date]])</f>
        <v>2025</v>
      </c>
    </row>
    <row r="77" spans="1:11">
      <c r="A77" s="1">
        <v>45719</v>
      </c>
      <c r="B77" t="s">
        <v>35</v>
      </c>
      <c r="D77" t="s">
        <v>34</v>
      </c>
      <c r="E77" t="s">
        <v>34</v>
      </c>
      <c r="F77" t="s">
        <v>14</v>
      </c>
      <c r="G77">
        <v>24183</v>
      </c>
      <c r="H77" t="s">
        <v>15</v>
      </c>
      <c r="I77" t="str">
        <f>TEXT(FinanceData[[#This Row],[Date]],"dddd")</f>
        <v>Monday</v>
      </c>
      <c r="J77" t="str">
        <f>IF(OR(FinanceData[[#This Row],[Day]]="Saturday",FinanceData[[#This Row],[Day]]="Sunday"),"Weekend","Weekday")</f>
        <v>Weekday</v>
      </c>
      <c r="K77">
        <f>YEAR(FinanceData[[#This Row],[Date]])</f>
        <v>2025</v>
      </c>
    </row>
    <row r="78" spans="1:11">
      <c r="A78" s="1">
        <v>45720</v>
      </c>
      <c r="B78" t="s">
        <v>35</v>
      </c>
      <c r="D78" t="s">
        <v>30</v>
      </c>
      <c r="E78" t="s">
        <v>30</v>
      </c>
      <c r="F78" t="s">
        <v>14</v>
      </c>
      <c r="G78">
        <v>4205</v>
      </c>
      <c r="H78" t="s">
        <v>24</v>
      </c>
      <c r="I78" t="str">
        <f>TEXT(FinanceData[[#This Row],[Date]],"dddd")</f>
        <v>Tuesday</v>
      </c>
      <c r="J78" t="str">
        <f>IF(OR(FinanceData[[#This Row],[Day]]="Saturday",FinanceData[[#This Row],[Day]]="Sunday"),"Weekend","Weekday")</f>
        <v>Weekday</v>
      </c>
      <c r="K78">
        <f>YEAR(FinanceData[[#This Row],[Date]])</f>
        <v>2025</v>
      </c>
    </row>
    <row r="79" spans="1:11">
      <c r="A79" s="1">
        <v>45721</v>
      </c>
      <c r="B79" t="s">
        <v>35</v>
      </c>
      <c r="D79" t="s">
        <v>21</v>
      </c>
      <c r="E79" t="s">
        <v>21</v>
      </c>
      <c r="F79" t="s">
        <v>14</v>
      </c>
      <c r="G79">
        <v>5466</v>
      </c>
      <c r="H79" t="s">
        <v>12</v>
      </c>
      <c r="I79" t="str">
        <f>TEXT(FinanceData[[#This Row],[Date]],"dddd")</f>
        <v>Wednesday</v>
      </c>
      <c r="J79" t="str">
        <f>IF(OR(FinanceData[[#This Row],[Day]]="Saturday",FinanceData[[#This Row],[Day]]="Sunday"),"Weekend","Weekday")</f>
        <v>Weekday</v>
      </c>
      <c r="K79">
        <f>YEAR(FinanceData[[#This Row],[Date]])</f>
        <v>2025</v>
      </c>
    </row>
    <row r="80" spans="1:11">
      <c r="A80" s="1">
        <v>45722</v>
      </c>
      <c r="B80" t="s">
        <v>35</v>
      </c>
      <c r="D80" t="s">
        <v>34</v>
      </c>
      <c r="E80" t="s">
        <v>34</v>
      </c>
      <c r="F80" t="s">
        <v>14</v>
      </c>
      <c r="G80">
        <v>7847</v>
      </c>
      <c r="H80" t="s">
        <v>24</v>
      </c>
      <c r="I80" t="str">
        <f>TEXT(FinanceData[[#This Row],[Date]],"dddd")</f>
        <v>Thursday</v>
      </c>
      <c r="J80" t="str">
        <f>IF(OR(FinanceData[[#This Row],[Day]]="Saturday",FinanceData[[#This Row],[Day]]="Sunday"),"Weekend","Weekday")</f>
        <v>Weekday</v>
      </c>
      <c r="K80">
        <f>YEAR(FinanceData[[#This Row],[Date]])</f>
        <v>2025</v>
      </c>
    </row>
    <row r="81" spans="1:11">
      <c r="A81" s="1">
        <v>45723</v>
      </c>
      <c r="B81" t="s">
        <v>35</v>
      </c>
      <c r="D81" t="s">
        <v>29</v>
      </c>
      <c r="E81" t="s">
        <v>29</v>
      </c>
      <c r="F81" t="s">
        <v>14</v>
      </c>
      <c r="G81">
        <v>9527</v>
      </c>
      <c r="H81" t="s">
        <v>12</v>
      </c>
      <c r="I81" t="str">
        <f>TEXT(FinanceData[[#This Row],[Date]],"dddd")</f>
        <v>Friday</v>
      </c>
      <c r="J81" t="str">
        <f>IF(OR(FinanceData[[#This Row],[Day]]="Saturday",FinanceData[[#This Row],[Day]]="Sunday"),"Weekend","Weekday")</f>
        <v>Weekday</v>
      </c>
      <c r="K81">
        <f>YEAR(FinanceData[[#This Row],[Date]])</f>
        <v>2025</v>
      </c>
    </row>
    <row r="82" spans="1:11">
      <c r="A82" s="1">
        <v>45724</v>
      </c>
      <c r="B82" t="s">
        <v>35</v>
      </c>
      <c r="D82" t="s">
        <v>30</v>
      </c>
      <c r="E82" t="s">
        <v>30</v>
      </c>
      <c r="F82" t="s">
        <v>14</v>
      </c>
      <c r="G82">
        <v>5982</v>
      </c>
      <c r="H82" t="s">
        <v>19</v>
      </c>
      <c r="I82" t="str">
        <f>TEXT(FinanceData[[#This Row],[Date]],"dddd")</f>
        <v>Saturday</v>
      </c>
      <c r="J82" t="str">
        <f>IF(OR(FinanceData[[#This Row],[Day]]="Saturday",FinanceData[[#This Row],[Day]]="Sunday"),"Weekend","Weekday")</f>
        <v>Weekend</v>
      </c>
      <c r="K82">
        <f>YEAR(FinanceData[[#This Row],[Date]])</f>
        <v>2025</v>
      </c>
    </row>
    <row r="83" spans="1:11">
      <c r="A83" s="1">
        <v>45725</v>
      </c>
      <c r="B83" t="s">
        <v>35</v>
      </c>
      <c r="D83" t="s">
        <v>27</v>
      </c>
      <c r="E83" t="s">
        <v>27</v>
      </c>
      <c r="F83" t="s">
        <v>14</v>
      </c>
      <c r="G83">
        <v>13079</v>
      </c>
      <c r="H83" t="s">
        <v>24</v>
      </c>
      <c r="I83" t="str">
        <f>TEXT(FinanceData[[#This Row],[Date]],"dddd")</f>
        <v>Sunday</v>
      </c>
      <c r="J83" t="str">
        <f>IF(OR(FinanceData[[#This Row],[Day]]="Saturday",FinanceData[[#This Row],[Day]]="Sunday"),"Weekend","Weekday")</f>
        <v>Weekend</v>
      </c>
      <c r="K83">
        <f>YEAR(FinanceData[[#This Row],[Date]])</f>
        <v>2025</v>
      </c>
    </row>
    <row r="84" spans="1:11">
      <c r="A84" s="1">
        <v>45726</v>
      </c>
      <c r="B84" t="s">
        <v>35</v>
      </c>
      <c r="C84" t="s">
        <v>20</v>
      </c>
      <c r="E84" t="s">
        <v>20</v>
      </c>
      <c r="F84" t="s">
        <v>11</v>
      </c>
      <c r="G84">
        <v>112764</v>
      </c>
      <c r="H84" t="s">
        <v>12</v>
      </c>
      <c r="I84" t="str">
        <f>TEXT(FinanceData[[#This Row],[Date]],"dddd")</f>
        <v>Monday</v>
      </c>
      <c r="J84" t="str">
        <f>IF(OR(FinanceData[[#This Row],[Day]]="Saturday",FinanceData[[#This Row],[Day]]="Sunday"),"Weekend","Weekday")</f>
        <v>Weekday</v>
      </c>
      <c r="K84">
        <f>YEAR(FinanceData[[#This Row],[Date]])</f>
        <v>2025</v>
      </c>
    </row>
    <row r="85" spans="1:11">
      <c r="A85" s="1">
        <v>45726</v>
      </c>
      <c r="B85" t="s">
        <v>35</v>
      </c>
      <c r="D85" t="s">
        <v>30</v>
      </c>
      <c r="E85" t="s">
        <v>30</v>
      </c>
      <c r="F85" t="s">
        <v>14</v>
      </c>
      <c r="G85">
        <v>4483</v>
      </c>
      <c r="H85" t="s">
        <v>24</v>
      </c>
      <c r="I85" t="str">
        <f>TEXT(FinanceData[[#This Row],[Date]],"dddd")</f>
        <v>Monday</v>
      </c>
      <c r="J85" t="str">
        <f>IF(OR(FinanceData[[#This Row],[Day]]="Saturday",FinanceData[[#This Row],[Day]]="Sunday"),"Weekend","Weekday")</f>
        <v>Weekday</v>
      </c>
      <c r="K85">
        <f>YEAR(FinanceData[[#This Row],[Date]])</f>
        <v>2025</v>
      </c>
    </row>
    <row r="86" spans="1:11">
      <c r="A86" s="1">
        <v>45727</v>
      </c>
      <c r="B86" t="s">
        <v>35</v>
      </c>
      <c r="C86" t="s">
        <v>20</v>
      </c>
      <c r="E86" t="s">
        <v>20</v>
      </c>
      <c r="F86" t="s">
        <v>11</v>
      </c>
      <c r="G86">
        <v>47734</v>
      </c>
      <c r="H86" t="s">
        <v>12</v>
      </c>
      <c r="I86" t="str">
        <f>TEXT(FinanceData[[#This Row],[Date]],"dddd")</f>
        <v>Tuesday</v>
      </c>
      <c r="J86" t="str">
        <f>IF(OR(FinanceData[[#This Row],[Day]]="Saturday",FinanceData[[#This Row],[Day]]="Sunday"),"Weekend","Weekday")</f>
        <v>Weekday</v>
      </c>
      <c r="K86">
        <f>YEAR(FinanceData[[#This Row],[Date]])</f>
        <v>2025</v>
      </c>
    </row>
    <row r="87" spans="1:11">
      <c r="A87" s="1">
        <v>45727</v>
      </c>
      <c r="B87" t="s">
        <v>35</v>
      </c>
      <c r="D87" t="s">
        <v>21</v>
      </c>
      <c r="E87" t="s">
        <v>21</v>
      </c>
      <c r="F87" t="s">
        <v>14</v>
      </c>
      <c r="G87">
        <v>3288</v>
      </c>
      <c r="H87" t="s">
        <v>15</v>
      </c>
      <c r="I87" t="str">
        <f>TEXT(FinanceData[[#This Row],[Date]],"dddd")</f>
        <v>Tuesday</v>
      </c>
      <c r="J87" t="str">
        <f>IF(OR(FinanceData[[#This Row],[Day]]="Saturday",FinanceData[[#This Row],[Day]]="Sunday"),"Weekend","Weekday")</f>
        <v>Weekday</v>
      </c>
      <c r="K87">
        <f>YEAR(FinanceData[[#This Row],[Date]])</f>
        <v>2025</v>
      </c>
    </row>
    <row r="88" spans="1:11">
      <c r="A88" s="1">
        <v>45728</v>
      </c>
      <c r="B88" t="s">
        <v>35</v>
      </c>
      <c r="D88" t="s">
        <v>16</v>
      </c>
      <c r="E88" t="s">
        <v>16</v>
      </c>
      <c r="F88" t="s">
        <v>14</v>
      </c>
      <c r="G88">
        <v>2245</v>
      </c>
      <c r="H88" t="s">
        <v>19</v>
      </c>
      <c r="I88" t="str">
        <f>TEXT(FinanceData[[#This Row],[Date]],"dddd")</f>
        <v>Wednesday</v>
      </c>
      <c r="J88" t="str">
        <f>IF(OR(FinanceData[[#This Row],[Day]]="Saturday",FinanceData[[#This Row],[Day]]="Sunday"),"Weekend","Weekday")</f>
        <v>Weekday</v>
      </c>
      <c r="K88">
        <f>YEAR(FinanceData[[#This Row],[Date]])</f>
        <v>2025</v>
      </c>
    </row>
    <row r="89" spans="1:11">
      <c r="A89" s="1">
        <v>45729</v>
      </c>
      <c r="B89" t="s">
        <v>35</v>
      </c>
      <c r="D89" t="s">
        <v>22</v>
      </c>
      <c r="E89" t="s">
        <v>22</v>
      </c>
      <c r="F89" t="s">
        <v>14</v>
      </c>
      <c r="G89">
        <v>79320</v>
      </c>
      <c r="H89" t="s">
        <v>19</v>
      </c>
      <c r="I89" t="str">
        <f>TEXT(FinanceData[[#This Row],[Date]],"dddd")</f>
        <v>Thursday</v>
      </c>
      <c r="J89" t="str">
        <f>IF(OR(FinanceData[[#This Row],[Day]]="Saturday",FinanceData[[#This Row],[Day]]="Sunday"),"Weekend","Weekday")</f>
        <v>Weekday</v>
      </c>
      <c r="K89">
        <f>YEAR(FinanceData[[#This Row],[Date]])</f>
        <v>2025</v>
      </c>
    </row>
    <row r="90" spans="1:11">
      <c r="A90" s="1">
        <v>45730</v>
      </c>
      <c r="B90" t="s">
        <v>35</v>
      </c>
      <c r="D90" t="s">
        <v>26</v>
      </c>
      <c r="E90" t="s">
        <v>26</v>
      </c>
      <c r="F90" t="s">
        <v>14</v>
      </c>
      <c r="G90">
        <v>20294</v>
      </c>
      <c r="H90" t="s">
        <v>15</v>
      </c>
      <c r="I90" t="str">
        <f>TEXT(FinanceData[[#This Row],[Date]],"dddd")</f>
        <v>Friday</v>
      </c>
      <c r="J90" t="str">
        <f>IF(OR(FinanceData[[#This Row],[Day]]="Saturday",FinanceData[[#This Row],[Day]]="Sunday"),"Weekend","Weekday")</f>
        <v>Weekday</v>
      </c>
      <c r="K90">
        <f>YEAR(FinanceData[[#This Row],[Date]])</f>
        <v>2025</v>
      </c>
    </row>
    <row r="91" spans="1:11">
      <c r="A91" s="1">
        <v>45731</v>
      </c>
      <c r="B91" t="s">
        <v>35</v>
      </c>
      <c r="D91" t="s">
        <v>26</v>
      </c>
      <c r="E91" t="s">
        <v>26</v>
      </c>
      <c r="F91" t="s">
        <v>14</v>
      </c>
      <c r="G91">
        <v>5908</v>
      </c>
      <c r="H91" t="s">
        <v>12</v>
      </c>
      <c r="I91" t="str">
        <f>TEXT(FinanceData[[#This Row],[Date]],"dddd")</f>
        <v>Saturday</v>
      </c>
      <c r="J91" t="str">
        <f>IF(OR(FinanceData[[#This Row],[Day]]="Saturday",FinanceData[[#This Row],[Day]]="Sunday"),"Weekend","Weekday")</f>
        <v>Weekend</v>
      </c>
      <c r="K91">
        <f>YEAR(FinanceData[[#This Row],[Date]])</f>
        <v>2025</v>
      </c>
    </row>
    <row r="92" spans="1:11">
      <c r="A92" s="1">
        <v>45732</v>
      </c>
      <c r="B92" t="s">
        <v>35</v>
      </c>
      <c r="D92" t="s">
        <v>25</v>
      </c>
      <c r="E92" t="s">
        <v>25</v>
      </c>
      <c r="F92" t="s">
        <v>14</v>
      </c>
      <c r="G92">
        <v>6037</v>
      </c>
      <c r="H92" t="s">
        <v>24</v>
      </c>
      <c r="I92" t="str">
        <f>TEXT(FinanceData[[#This Row],[Date]],"dddd")</f>
        <v>Sunday</v>
      </c>
      <c r="J92" t="str">
        <f>IF(OR(FinanceData[[#This Row],[Day]]="Saturday",FinanceData[[#This Row],[Day]]="Sunday"),"Weekend","Weekday")</f>
        <v>Weekend</v>
      </c>
      <c r="K92">
        <f>YEAR(FinanceData[[#This Row],[Date]])</f>
        <v>2025</v>
      </c>
    </row>
    <row r="93" spans="1:11">
      <c r="A93" s="1">
        <v>45733</v>
      </c>
      <c r="B93" t="s">
        <v>35</v>
      </c>
      <c r="D93" t="s">
        <v>27</v>
      </c>
      <c r="E93" t="s">
        <v>27</v>
      </c>
      <c r="F93" t="s">
        <v>14</v>
      </c>
      <c r="G93">
        <v>17434</v>
      </c>
      <c r="H93" t="s">
        <v>24</v>
      </c>
      <c r="I93" t="str">
        <f>TEXT(FinanceData[[#This Row],[Date]],"dddd")</f>
        <v>Monday</v>
      </c>
      <c r="J93" t="str">
        <f>IF(OR(FinanceData[[#This Row],[Day]]="Saturday",FinanceData[[#This Row],[Day]]="Sunday"),"Weekend","Weekday")</f>
        <v>Weekday</v>
      </c>
      <c r="K93">
        <f>YEAR(FinanceData[[#This Row],[Date]])</f>
        <v>2025</v>
      </c>
    </row>
    <row r="94" spans="1:11">
      <c r="A94" s="1">
        <v>45734</v>
      </c>
      <c r="B94" t="s">
        <v>35</v>
      </c>
      <c r="D94" t="s">
        <v>18</v>
      </c>
      <c r="E94" t="s">
        <v>18</v>
      </c>
      <c r="F94" t="s">
        <v>14</v>
      </c>
      <c r="G94">
        <v>9318</v>
      </c>
      <c r="H94" t="s">
        <v>15</v>
      </c>
      <c r="I94" t="str">
        <f>TEXT(FinanceData[[#This Row],[Date]],"dddd")</f>
        <v>Tuesday</v>
      </c>
      <c r="J94" t="str">
        <f>IF(OR(FinanceData[[#This Row],[Day]]="Saturday",FinanceData[[#This Row],[Day]]="Sunday"),"Weekend","Weekday")</f>
        <v>Weekday</v>
      </c>
      <c r="K94">
        <f>YEAR(FinanceData[[#This Row],[Date]])</f>
        <v>2025</v>
      </c>
    </row>
    <row r="95" spans="1:11">
      <c r="A95" s="1">
        <v>45735</v>
      </c>
      <c r="B95" t="s">
        <v>35</v>
      </c>
      <c r="C95" t="s">
        <v>28</v>
      </c>
      <c r="E95" t="s">
        <v>28</v>
      </c>
      <c r="F95" t="s">
        <v>11</v>
      </c>
      <c r="G95">
        <v>119882</v>
      </c>
      <c r="H95" t="s">
        <v>12</v>
      </c>
      <c r="I95" t="str">
        <f>TEXT(FinanceData[[#This Row],[Date]],"dddd")</f>
        <v>Wednesday</v>
      </c>
      <c r="J95" t="str">
        <f>IF(OR(FinanceData[[#This Row],[Day]]="Saturday",FinanceData[[#This Row],[Day]]="Sunday"),"Weekend","Weekday")</f>
        <v>Weekday</v>
      </c>
      <c r="K95">
        <f>YEAR(FinanceData[[#This Row],[Date]])</f>
        <v>2025</v>
      </c>
    </row>
    <row r="96" spans="1:11">
      <c r="A96" s="1">
        <v>45735</v>
      </c>
      <c r="B96" t="s">
        <v>35</v>
      </c>
      <c r="D96" t="s">
        <v>13</v>
      </c>
      <c r="E96" t="s">
        <v>13</v>
      </c>
      <c r="F96" t="s">
        <v>14</v>
      </c>
      <c r="G96">
        <v>6864</v>
      </c>
      <c r="H96" t="s">
        <v>24</v>
      </c>
      <c r="I96" t="str">
        <f>TEXT(FinanceData[[#This Row],[Date]],"dddd")</f>
        <v>Wednesday</v>
      </c>
      <c r="J96" t="str">
        <f>IF(OR(FinanceData[[#This Row],[Day]]="Saturday",FinanceData[[#This Row],[Day]]="Sunday"),"Weekend","Weekday")</f>
        <v>Weekday</v>
      </c>
      <c r="K96">
        <f>YEAR(FinanceData[[#This Row],[Date]])</f>
        <v>2025</v>
      </c>
    </row>
    <row r="97" spans="1:11">
      <c r="A97" s="1">
        <v>45736</v>
      </c>
      <c r="B97" t="s">
        <v>35</v>
      </c>
      <c r="D97" t="s">
        <v>26</v>
      </c>
      <c r="E97" t="s">
        <v>26</v>
      </c>
      <c r="F97" t="s">
        <v>14</v>
      </c>
      <c r="G97">
        <v>12686</v>
      </c>
      <c r="H97" t="s">
        <v>19</v>
      </c>
      <c r="I97" t="str">
        <f>TEXT(FinanceData[[#This Row],[Date]],"dddd")</f>
        <v>Thursday</v>
      </c>
      <c r="J97" t="str">
        <f>IF(OR(FinanceData[[#This Row],[Day]]="Saturday",FinanceData[[#This Row],[Day]]="Sunday"),"Weekend","Weekday")</f>
        <v>Weekday</v>
      </c>
      <c r="K97">
        <f>YEAR(FinanceData[[#This Row],[Date]])</f>
        <v>2025</v>
      </c>
    </row>
    <row r="98" spans="1:11">
      <c r="A98" s="1">
        <v>45737</v>
      </c>
      <c r="B98" t="s">
        <v>35</v>
      </c>
      <c r="D98" t="s">
        <v>27</v>
      </c>
      <c r="E98" t="s">
        <v>27</v>
      </c>
      <c r="F98" t="s">
        <v>14</v>
      </c>
      <c r="G98">
        <v>9477</v>
      </c>
      <c r="H98" t="s">
        <v>15</v>
      </c>
      <c r="I98" t="str">
        <f>TEXT(FinanceData[[#This Row],[Date]],"dddd")</f>
        <v>Friday</v>
      </c>
      <c r="J98" t="str">
        <f>IF(OR(FinanceData[[#This Row],[Day]]="Saturday",FinanceData[[#This Row],[Day]]="Sunday"),"Weekend","Weekday")</f>
        <v>Weekday</v>
      </c>
      <c r="K98">
        <f>YEAR(FinanceData[[#This Row],[Date]])</f>
        <v>2025</v>
      </c>
    </row>
    <row r="99" spans="1:11">
      <c r="A99" s="1">
        <v>45738</v>
      </c>
      <c r="B99" t="s">
        <v>35</v>
      </c>
      <c r="D99" t="s">
        <v>29</v>
      </c>
      <c r="E99" t="s">
        <v>29</v>
      </c>
      <c r="F99" t="s">
        <v>14</v>
      </c>
      <c r="G99">
        <v>9880</v>
      </c>
      <c r="H99" t="s">
        <v>15</v>
      </c>
      <c r="I99" t="str">
        <f>TEXT(FinanceData[[#This Row],[Date]],"dddd")</f>
        <v>Saturday</v>
      </c>
      <c r="J99" t="str">
        <f>IF(OR(FinanceData[[#This Row],[Day]]="Saturday",FinanceData[[#This Row],[Day]]="Sunday"),"Weekend","Weekday")</f>
        <v>Weekend</v>
      </c>
      <c r="K99">
        <f>YEAR(FinanceData[[#This Row],[Date]])</f>
        <v>2025</v>
      </c>
    </row>
    <row r="100" spans="1:11">
      <c r="A100" s="1">
        <v>45739</v>
      </c>
      <c r="B100" t="s">
        <v>35</v>
      </c>
      <c r="D100" t="s">
        <v>25</v>
      </c>
      <c r="E100" t="s">
        <v>25</v>
      </c>
      <c r="F100" t="s">
        <v>14</v>
      </c>
      <c r="G100">
        <v>3674</v>
      </c>
      <c r="H100" t="s">
        <v>12</v>
      </c>
      <c r="I100" t="str">
        <f>TEXT(FinanceData[[#This Row],[Date]],"dddd")</f>
        <v>Sunday</v>
      </c>
      <c r="J100" t="str">
        <f>IF(OR(FinanceData[[#This Row],[Day]]="Saturday",FinanceData[[#This Row],[Day]]="Sunday"),"Weekend","Weekday")</f>
        <v>Weekend</v>
      </c>
      <c r="K100">
        <f>YEAR(FinanceData[[#This Row],[Date]])</f>
        <v>2025</v>
      </c>
    </row>
    <row r="101" spans="1:11">
      <c r="A101" s="1">
        <v>45740</v>
      </c>
      <c r="B101" t="s">
        <v>35</v>
      </c>
      <c r="D101" t="s">
        <v>22</v>
      </c>
      <c r="E101" t="s">
        <v>22</v>
      </c>
      <c r="F101" t="s">
        <v>14</v>
      </c>
      <c r="G101">
        <v>60033</v>
      </c>
      <c r="H101" t="s">
        <v>15</v>
      </c>
      <c r="I101" t="str">
        <f>TEXT(FinanceData[[#This Row],[Date]],"dddd")</f>
        <v>Monday</v>
      </c>
      <c r="J101" t="str">
        <f>IF(OR(FinanceData[[#This Row],[Day]]="Saturday",FinanceData[[#This Row],[Day]]="Sunday"),"Weekend","Weekday")</f>
        <v>Weekday</v>
      </c>
      <c r="K101">
        <f>YEAR(FinanceData[[#This Row],[Date]])</f>
        <v>2025</v>
      </c>
    </row>
    <row r="102" spans="1:11">
      <c r="A102" s="1">
        <v>45741</v>
      </c>
      <c r="B102" t="s">
        <v>35</v>
      </c>
      <c r="D102" t="s">
        <v>18</v>
      </c>
      <c r="E102" t="s">
        <v>18</v>
      </c>
      <c r="F102" t="s">
        <v>14</v>
      </c>
      <c r="G102">
        <v>4391</v>
      </c>
      <c r="H102" t="s">
        <v>12</v>
      </c>
      <c r="I102" t="str">
        <f>TEXT(FinanceData[[#This Row],[Date]],"dddd")</f>
        <v>Tuesday</v>
      </c>
      <c r="J102" t="str">
        <f>IF(OR(FinanceData[[#This Row],[Day]]="Saturday",FinanceData[[#This Row],[Day]]="Sunday"),"Weekend","Weekday")</f>
        <v>Weekday</v>
      </c>
      <c r="K102">
        <f>YEAR(FinanceData[[#This Row],[Date]])</f>
        <v>2025</v>
      </c>
    </row>
    <row r="103" spans="1:11">
      <c r="A103" s="1">
        <v>45742</v>
      </c>
      <c r="B103" t="s">
        <v>35</v>
      </c>
      <c r="D103" t="s">
        <v>16</v>
      </c>
      <c r="E103" t="s">
        <v>16</v>
      </c>
      <c r="F103" t="s">
        <v>14</v>
      </c>
      <c r="G103">
        <v>6362</v>
      </c>
      <c r="H103" t="s">
        <v>24</v>
      </c>
      <c r="I103" t="str">
        <f>TEXT(FinanceData[[#This Row],[Date]],"dddd")</f>
        <v>Wednesday</v>
      </c>
      <c r="J103" t="str">
        <f>IF(OR(FinanceData[[#This Row],[Day]]="Saturday",FinanceData[[#This Row],[Day]]="Sunday"),"Weekend","Weekday")</f>
        <v>Weekday</v>
      </c>
      <c r="K103">
        <f>YEAR(FinanceData[[#This Row],[Date]])</f>
        <v>2025</v>
      </c>
    </row>
    <row r="104" spans="1:11">
      <c r="A104" s="1">
        <v>45743</v>
      </c>
      <c r="B104" t="s">
        <v>35</v>
      </c>
      <c r="C104" t="s">
        <v>23</v>
      </c>
      <c r="E104" t="s">
        <v>23</v>
      </c>
      <c r="F104" t="s">
        <v>11</v>
      </c>
      <c r="G104">
        <v>158645</v>
      </c>
      <c r="H104" t="s">
        <v>12</v>
      </c>
      <c r="I104" t="str">
        <f>TEXT(FinanceData[[#This Row],[Date]],"dddd")</f>
        <v>Thursday</v>
      </c>
      <c r="J104" t="str">
        <f>IF(OR(FinanceData[[#This Row],[Day]]="Saturday",FinanceData[[#This Row],[Day]]="Sunday"),"Weekend","Weekday")</f>
        <v>Weekday</v>
      </c>
      <c r="K104">
        <f>YEAR(FinanceData[[#This Row],[Date]])</f>
        <v>2025</v>
      </c>
    </row>
    <row r="105" spans="1:11">
      <c r="A105" s="1">
        <v>45743</v>
      </c>
      <c r="B105" t="s">
        <v>35</v>
      </c>
      <c r="D105" t="s">
        <v>16</v>
      </c>
      <c r="E105" t="s">
        <v>16</v>
      </c>
      <c r="F105" t="s">
        <v>14</v>
      </c>
      <c r="G105">
        <v>4354</v>
      </c>
      <c r="H105" t="s">
        <v>12</v>
      </c>
      <c r="I105" t="str">
        <f>TEXT(FinanceData[[#This Row],[Date]],"dddd")</f>
        <v>Thursday</v>
      </c>
      <c r="J105" t="str">
        <f>IF(OR(FinanceData[[#This Row],[Day]]="Saturday",FinanceData[[#This Row],[Day]]="Sunday"),"Weekend","Weekday")</f>
        <v>Weekday</v>
      </c>
      <c r="K105">
        <f>YEAR(FinanceData[[#This Row],[Date]])</f>
        <v>2025</v>
      </c>
    </row>
    <row r="106" spans="1:11">
      <c r="A106" s="1">
        <v>45744</v>
      </c>
      <c r="B106" t="s">
        <v>35</v>
      </c>
      <c r="D106" t="s">
        <v>22</v>
      </c>
      <c r="E106" t="s">
        <v>22</v>
      </c>
      <c r="F106" t="s">
        <v>14</v>
      </c>
      <c r="G106">
        <v>61151</v>
      </c>
      <c r="H106" t="s">
        <v>24</v>
      </c>
      <c r="I106" t="str">
        <f>TEXT(FinanceData[[#This Row],[Date]],"dddd")</f>
        <v>Friday</v>
      </c>
      <c r="J106" t="str">
        <f>IF(OR(FinanceData[[#This Row],[Day]]="Saturday",FinanceData[[#This Row],[Day]]="Sunday"),"Weekend","Weekday")</f>
        <v>Weekday</v>
      </c>
      <c r="K106">
        <f>YEAR(FinanceData[[#This Row],[Date]])</f>
        <v>2025</v>
      </c>
    </row>
    <row r="107" spans="1:11">
      <c r="A107" s="1">
        <v>45745</v>
      </c>
      <c r="B107" t="s">
        <v>35</v>
      </c>
      <c r="D107" t="s">
        <v>17</v>
      </c>
      <c r="E107" t="s">
        <v>17</v>
      </c>
      <c r="F107" t="s">
        <v>14</v>
      </c>
      <c r="G107">
        <v>3745</v>
      </c>
      <c r="H107" t="s">
        <v>24</v>
      </c>
      <c r="I107" t="str">
        <f>TEXT(FinanceData[[#This Row],[Date]],"dddd")</f>
        <v>Saturday</v>
      </c>
      <c r="J107" t="str">
        <f>IF(OR(FinanceData[[#This Row],[Day]]="Saturday",FinanceData[[#This Row],[Day]]="Sunday"),"Weekend","Weekday")</f>
        <v>Weekend</v>
      </c>
      <c r="K107">
        <f>YEAR(FinanceData[[#This Row],[Date]])</f>
        <v>2025</v>
      </c>
    </row>
    <row r="108" spans="1:11">
      <c r="A108" s="1">
        <v>45746</v>
      </c>
      <c r="B108" t="s">
        <v>35</v>
      </c>
      <c r="D108" t="s">
        <v>29</v>
      </c>
      <c r="E108" t="s">
        <v>29</v>
      </c>
      <c r="F108" t="s">
        <v>14</v>
      </c>
      <c r="G108">
        <v>6166</v>
      </c>
      <c r="H108" t="s">
        <v>12</v>
      </c>
      <c r="I108" t="str">
        <f>TEXT(FinanceData[[#This Row],[Date]],"dddd")</f>
        <v>Sunday</v>
      </c>
      <c r="J108" t="str">
        <f>IF(OR(FinanceData[[#This Row],[Day]]="Saturday",FinanceData[[#This Row],[Day]]="Sunday"),"Weekend","Weekday")</f>
        <v>Weekend</v>
      </c>
      <c r="K108">
        <f>YEAR(FinanceData[[#This Row],[Date]])</f>
        <v>2025</v>
      </c>
    </row>
    <row r="109" spans="1:11">
      <c r="A109" s="1">
        <v>45747</v>
      </c>
      <c r="B109" t="s">
        <v>35</v>
      </c>
      <c r="C109" t="s">
        <v>20</v>
      </c>
      <c r="E109" t="s">
        <v>20</v>
      </c>
      <c r="F109" t="s">
        <v>11</v>
      </c>
      <c r="G109">
        <v>167618</v>
      </c>
      <c r="H109" t="s">
        <v>12</v>
      </c>
      <c r="I109" t="str">
        <f>TEXT(FinanceData[[#This Row],[Date]],"dddd")</f>
        <v>Monday</v>
      </c>
      <c r="J109" t="str">
        <f>IF(OR(FinanceData[[#This Row],[Day]]="Saturday",FinanceData[[#This Row],[Day]]="Sunday"),"Weekend","Weekday")</f>
        <v>Weekday</v>
      </c>
      <c r="K109">
        <f>YEAR(FinanceData[[#This Row],[Date]])</f>
        <v>2025</v>
      </c>
    </row>
    <row r="110" spans="1:11">
      <c r="A110" s="1">
        <v>45747</v>
      </c>
      <c r="B110" t="s">
        <v>35</v>
      </c>
      <c r="D110" t="s">
        <v>21</v>
      </c>
      <c r="E110" t="s">
        <v>21</v>
      </c>
      <c r="F110" t="s">
        <v>14</v>
      </c>
      <c r="G110">
        <v>3853</v>
      </c>
      <c r="H110" t="s">
        <v>12</v>
      </c>
      <c r="I110" t="str">
        <f>TEXT(FinanceData[[#This Row],[Date]],"dddd")</f>
        <v>Monday</v>
      </c>
      <c r="J110" t="str">
        <f>IF(OR(FinanceData[[#This Row],[Day]]="Saturday",FinanceData[[#This Row],[Day]]="Sunday"),"Weekend","Weekday")</f>
        <v>Weekday</v>
      </c>
      <c r="K110">
        <f>YEAR(FinanceData[[#This Row],[Date]])</f>
        <v>2025</v>
      </c>
    </row>
    <row r="111" spans="1:11">
      <c r="A111" s="1">
        <v>45748</v>
      </c>
      <c r="B111" t="s">
        <v>36</v>
      </c>
      <c r="C111" t="s">
        <v>9</v>
      </c>
      <c r="E111" t="s">
        <v>10</v>
      </c>
      <c r="F111" t="s">
        <v>11</v>
      </c>
      <c r="G111">
        <v>450000</v>
      </c>
      <c r="H111" t="s">
        <v>12</v>
      </c>
      <c r="I111" t="str">
        <f>TEXT(FinanceData[[#This Row],[Date]],"dddd")</f>
        <v>Tuesday</v>
      </c>
      <c r="J111" t="str">
        <f>IF(OR(FinanceData[[#This Row],[Day]]="Saturday",FinanceData[[#This Row],[Day]]="Sunday"),"Weekend","Weekday")</f>
        <v>Weekday</v>
      </c>
      <c r="K111">
        <f>YEAR(FinanceData[[#This Row],[Date]])</f>
        <v>2025</v>
      </c>
    </row>
    <row r="112" spans="1:11">
      <c r="A112" s="1">
        <v>45748</v>
      </c>
      <c r="B112" t="s">
        <v>36</v>
      </c>
      <c r="D112" t="s">
        <v>26</v>
      </c>
      <c r="E112" t="s">
        <v>26</v>
      </c>
      <c r="F112" t="s">
        <v>14</v>
      </c>
      <c r="G112">
        <v>14178</v>
      </c>
      <c r="H112" t="s">
        <v>24</v>
      </c>
      <c r="I112" t="str">
        <f>TEXT(FinanceData[[#This Row],[Date]],"dddd")</f>
        <v>Tuesday</v>
      </c>
      <c r="J112" t="str">
        <f>IF(OR(FinanceData[[#This Row],[Day]]="Saturday",FinanceData[[#This Row],[Day]]="Sunday"),"Weekend","Weekday")</f>
        <v>Weekday</v>
      </c>
      <c r="K112">
        <f>YEAR(FinanceData[[#This Row],[Date]])</f>
        <v>2025</v>
      </c>
    </row>
    <row r="113" spans="1:11">
      <c r="A113" s="1">
        <v>45749</v>
      </c>
      <c r="B113" t="s">
        <v>36</v>
      </c>
      <c r="D113" t="s">
        <v>18</v>
      </c>
      <c r="E113" t="s">
        <v>18</v>
      </c>
      <c r="F113" t="s">
        <v>14</v>
      </c>
      <c r="G113">
        <v>3004</v>
      </c>
      <c r="H113" t="s">
        <v>12</v>
      </c>
      <c r="I113" t="str">
        <f>TEXT(FinanceData[[#This Row],[Date]],"dddd")</f>
        <v>Wednesday</v>
      </c>
      <c r="J113" t="str">
        <f>IF(OR(FinanceData[[#This Row],[Day]]="Saturday",FinanceData[[#This Row],[Day]]="Sunday"),"Weekend","Weekday")</f>
        <v>Weekday</v>
      </c>
      <c r="K113">
        <f>YEAR(FinanceData[[#This Row],[Date]])</f>
        <v>2025</v>
      </c>
    </row>
    <row r="114" spans="1:11">
      <c r="A114" s="1">
        <v>45750</v>
      </c>
      <c r="B114" t="s">
        <v>36</v>
      </c>
      <c r="D114" t="s">
        <v>25</v>
      </c>
      <c r="E114" t="s">
        <v>25</v>
      </c>
      <c r="F114" t="s">
        <v>14</v>
      </c>
      <c r="G114">
        <v>5150</v>
      </c>
      <c r="H114" t="s">
        <v>15</v>
      </c>
      <c r="I114" t="str">
        <f>TEXT(FinanceData[[#This Row],[Date]],"dddd")</f>
        <v>Thursday</v>
      </c>
      <c r="J114" t="str">
        <f>IF(OR(FinanceData[[#This Row],[Day]]="Saturday",FinanceData[[#This Row],[Day]]="Sunday"),"Weekend","Weekday")</f>
        <v>Weekday</v>
      </c>
      <c r="K114">
        <f>YEAR(FinanceData[[#This Row],[Date]])</f>
        <v>2025</v>
      </c>
    </row>
    <row r="115" spans="1:11">
      <c r="A115" s="1">
        <v>45751</v>
      </c>
      <c r="B115" t="s">
        <v>36</v>
      </c>
      <c r="D115" t="s">
        <v>27</v>
      </c>
      <c r="E115" t="s">
        <v>27</v>
      </c>
      <c r="F115" t="s">
        <v>14</v>
      </c>
      <c r="G115">
        <v>10155</v>
      </c>
      <c r="H115" t="s">
        <v>24</v>
      </c>
      <c r="I115" t="str">
        <f>TEXT(FinanceData[[#This Row],[Date]],"dddd")</f>
        <v>Friday</v>
      </c>
      <c r="J115" t="str">
        <f>IF(OR(FinanceData[[#This Row],[Day]]="Saturday",FinanceData[[#This Row],[Day]]="Sunday"),"Weekend","Weekday")</f>
        <v>Weekday</v>
      </c>
      <c r="K115">
        <f>YEAR(FinanceData[[#This Row],[Date]])</f>
        <v>2025</v>
      </c>
    </row>
    <row r="116" spans="1:11">
      <c r="A116" s="1">
        <v>45752</v>
      </c>
      <c r="B116" t="s">
        <v>36</v>
      </c>
      <c r="D116" t="s">
        <v>34</v>
      </c>
      <c r="E116" t="s">
        <v>34</v>
      </c>
      <c r="F116" t="s">
        <v>14</v>
      </c>
      <c r="G116">
        <v>8171</v>
      </c>
      <c r="H116" t="s">
        <v>12</v>
      </c>
      <c r="I116" t="str">
        <f>TEXT(FinanceData[[#This Row],[Date]],"dddd")</f>
        <v>Saturday</v>
      </c>
      <c r="J116" t="str">
        <f>IF(OR(FinanceData[[#This Row],[Day]]="Saturday",FinanceData[[#This Row],[Day]]="Sunday"),"Weekend","Weekday")</f>
        <v>Weekend</v>
      </c>
      <c r="K116">
        <f>YEAR(FinanceData[[#This Row],[Date]])</f>
        <v>2025</v>
      </c>
    </row>
    <row r="117" spans="1:11">
      <c r="A117" s="1">
        <v>45753</v>
      </c>
      <c r="B117" t="s">
        <v>36</v>
      </c>
      <c r="D117" t="s">
        <v>21</v>
      </c>
      <c r="E117" t="s">
        <v>21</v>
      </c>
      <c r="F117" t="s">
        <v>14</v>
      </c>
      <c r="G117">
        <v>4023</v>
      </c>
      <c r="H117" t="s">
        <v>12</v>
      </c>
      <c r="I117" t="str">
        <f>TEXT(FinanceData[[#This Row],[Date]],"dddd")</f>
        <v>Sunday</v>
      </c>
      <c r="J117" t="str">
        <f>IF(OR(FinanceData[[#This Row],[Day]]="Saturday",FinanceData[[#This Row],[Day]]="Sunday"),"Weekend","Weekday")</f>
        <v>Weekend</v>
      </c>
      <c r="K117">
        <f>YEAR(FinanceData[[#This Row],[Date]])</f>
        <v>2025</v>
      </c>
    </row>
    <row r="118" spans="1:11">
      <c r="A118" s="1">
        <v>45754</v>
      </c>
      <c r="B118" t="s">
        <v>36</v>
      </c>
      <c r="C118" t="s">
        <v>31</v>
      </c>
      <c r="E118" t="s">
        <v>31</v>
      </c>
      <c r="F118" t="s">
        <v>11</v>
      </c>
      <c r="G118">
        <v>45511</v>
      </c>
      <c r="H118" t="s">
        <v>12</v>
      </c>
      <c r="I118" t="str">
        <f>TEXT(FinanceData[[#This Row],[Date]],"dddd")</f>
        <v>Monday</v>
      </c>
      <c r="J118" t="str">
        <f>IF(OR(FinanceData[[#This Row],[Day]]="Saturday",FinanceData[[#This Row],[Day]]="Sunday"),"Weekend","Weekday")</f>
        <v>Weekday</v>
      </c>
      <c r="K118">
        <f>YEAR(FinanceData[[#This Row],[Date]])</f>
        <v>2025</v>
      </c>
    </row>
    <row r="119" spans="1:11">
      <c r="A119" s="1">
        <v>45754</v>
      </c>
      <c r="B119" t="s">
        <v>36</v>
      </c>
      <c r="D119" t="s">
        <v>13</v>
      </c>
      <c r="E119" t="s">
        <v>13</v>
      </c>
      <c r="F119" t="s">
        <v>14</v>
      </c>
      <c r="G119">
        <v>9059</v>
      </c>
      <c r="H119" t="s">
        <v>19</v>
      </c>
      <c r="I119" t="str">
        <f>TEXT(FinanceData[[#This Row],[Date]],"dddd")</f>
        <v>Monday</v>
      </c>
      <c r="J119" t="str">
        <f>IF(OR(FinanceData[[#This Row],[Day]]="Saturday",FinanceData[[#This Row],[Day]]="Sunday"),"Weekend","Weekday")</f>
        <v>Weekday</v>
      </c>
      <c r="K119">
        <f>YEAR(FinanceData[[#This Row],[Date]])</f>
        <v>2025</v>
      </c>
    </row>
    <row r="120" spans="1:11">
      <c r="A120" s="1">
        <v>45755</v>
      </c>
      <c r="B120" t="s">
        <v>36</v>
      </c>
      <c r="C120" t="s">
        <v>20</v>
      </c>
      <c r="E120" t="s">
        <v>20</v>
      </c>
      <c r="F120" t="s">
        <v>11</v>
      </c>
      <c r="G120">
        <v>103388</v>
      </c>
      <c r="H120" t="s">
        <v>12</v>
      </c>
      <c r="I120" t="str">
        <f>TEXT(FinanceData[[#This Row],[Date]],"dddd")</f>
        <v>Tuesday</v>
      </c>
      <c r="J120" t="str">
        <f>IF(OR(FinanceData[[#This Row],[Day]]="Saturday",FinanceData[[#This Row],[Day]]="Sunday"),"Weekend","Weekday")</f>
        <v>Weekday</v>
      </c>
      <c r="K120">
        <f>YEAR(FinanceData[[#This Row],[Date]])</f>
        <v>2025</v>
      </c>
    </row>
    <row r="121" spans="1:11">
      <c r="A121" s="1">
        <v>45755</v>
      </c>
      <c r="B121" t="s">
        <v>36</v>
      </c>
      <c r="D121" t="s">
        <v>21</v>
      </c>
      <c r="E121" t="s">
        <v>21</v>
      </c>
      <c r="F121" t="s">
        <v>14</v>
      </c>
      <c r="G121">
        <v>4578</v>
      </c>
      <c r="H121" t="s">
        <v>24</v>
      </c>
      <c r="I121" t="str">
        <f>TEXT(FinanceData[[#This Row],[Date]],"dddd")</f>
        <v>Tuesday</v>
      </c>
      <c r="J121" t="str">
        <f>IF(OR(FinanceData[[#This Row],[Day]]="Saturday",FinanceData[[#This Row],[Day]]="Sunday"),"Weekend","Weekday")</f>
        <v>Weekday</v>
      </c>
      <c r="K121">
        <f>YEAR(FinanceData[[#This Row],[Date]])</f>
        <v>2025</v>
      </c>
    </row>
    <row r="122" spans="1:11">
      <c r="A122" s="1">
        <v>45756</v>
      </c>
      <c r="B122" t="s">
        <v>36</v>
      </c>
      <c r="D122" t="s">
        <v>22</v>
      </c>
      <c r="E122" t="s">
        <v>22</v>
      </c>
      <c r="F122" t="s">
        <v>14</v>
      </c>
      <c r="G122">
        <v>77821</v>
      </c>
      <c r="H122" t="s">
        <v>15</v>
      </c>
      <c r="I122" t="str">
        <f>TEXT(FinanceData[[#This Row],[Date]],"dddd")</f>
        <v>Wednesday</v>
      </c>
      <c r="J122" t="str">
        <f>IF(OR(FinanceData[[#This Row],[Day]]="Saturday",FinanceData[[#This Row],[Day]]="Sunday"),"Weekend","Weekday")</f>
        <v>Weekday</v>
      </c>
      <c r="K122">
        <f>YEAR(FinanceData[[#This Row],[Date]])</f>
        <v>2025</v>
      </c>
    </row>
    <row r="123" spans="1:11">
      <c r="A123" s="1">
        <v>45757</v>
      </c>
      <c r="B123" t="s">
        <v>36</v>
      </c>
      <c r="D123" t="s">
        <v>29</v>
      </c>
      <c r="E123" t="s">
        <v>29</v>
      </c>
      <c r="F123" t="s">
        <v>14</v>
      </c>
      <c r="G123">
        <v>7539</v>
      </c>
      <c r="H123" t="s">
        <v>19</v>
      </c>
      <c r="I123" t="str">
        <f>TEXT(FinanceData[[#This Row],[Date]],"dddd")</f>
        <v>Thursday</v>
      </c>
      <c r="J123" t="str">
        <f>IF(OR(FinanceData[[#This Row],[Day]]="Saturday",FinanceData[[#This Row],[Day]]="Sunday"),"Weekend","Weekday")</f>
        <v>Weekday</v>
      </c>
      <c r="K123">
        <f>YEAR(FinanceData[[#This Row],[Date]])</f>
        <v>2025</v>
      </c>
    </row>
    <row r="124" spans="1:11">
      <c r="A124" s="1">
        <v>45758</v>
      </c>
      <c r="B124" t="s">
        <v>36</v>
      </c>
      <c r="D124" t="s">
        <v>13</v>
      </c>
      <c r="E124" t="s">
        <v>13</v>
      </c>
      <c r="F124" t="s">
        <v>14</v>
      </c>
      <c r="G124">
        <v>3488</v>
      </c>
      <c r="H124" t="s">
        <v>15</v>
      </c>
      <c r="I124" t="str">
        <f>TEXT(FinanceData[[#This Row],[Date]],"dddd")</f>
        <v>Friday</v>
      </c>
      <c r="J124" t="str">
        <f>IF(OR(FinanceData[[#This Row],[Day]]="Saturday",FinanceData[[#This Row],[Day]]="Sunday"),"Weekend","Weekday")</f>
        <v>Weekday</v>
      </c>
      <c r="K124">
        <f>YEAR(FinanceData[[#This Row],[Date]])</f>
        <v>2025</v>
      </c>
    </row>
    <row r="125" spans="1:11">
      <c r="A125" s="1">
        <v>45759</v>
      </c>
      <c r="B125" t="s">
        <v>36</v>
      </c>
      <c r="D125" t="s">
        <v>29</v>
      </c>
      <c r="E125" t="s">
        <v>29</v>
      </c>
      <c r="F125" t="s">
        <v>14</v>
      </c>
      <c r="G125">
        <v>4391</v>
      </c>
      <c r="H125" t="s">
        <v>19</v>
      </c>
      <c r="I125" t="str">
        <f>TEXT(FinanceData[[#This Row],[Date]],"dddd")</f>
        <v>Saturday</v>
      </c>
      <c r="J125" t="str">
        <f>IF(OR(FinanceData[[#This Row],[Day]]="Saturday",FinanceData[[#This Row],[Day]]="Sunday"),"Weekend","Weekday")</f>
        <v>Weekend</v>
      </c>
      <c r="K125">
        <f>YEAR(FinanceData[[#This Row],[Date]])</f>
        <v>2025</v>
      </c>
    </row>
    <row r="126" spans="1:11">
      <c r="A126" s="1">
        <v>45760</v>
      </c>
      <c r="B126" t="s">
        <v>36</v>
      </c>
      <c r="D126" t="s">
        <v>29</v>
      </c>
      <c r="E126" t="s">
        <v>29</v>
      </c>
      <c r="F126" t="s">
        <v>14</v>
      </c>
      <c r="G126">
        <v>6803</v>
      </c>
      <c r="H126" t="s">
        <v>19</v>
      </c>
      <c r="I126" t="str">
        <f>TEXT(FinanceData[[#This Row],[Date]],"dddd")</f>
        <v>Sunday</v>
      </c>
      <c r="J126" t="str">
        <f>IF(OR(FinanceData[[#This Row],[Day]]="Saturday",FinanceData[[#This Row],[Day]]="Sunday"),"Weekend","Weekday")</f>
        <v>Weekend</v>
      </c>
      <c r="K126">
        <f>YEAR(FinanceData[[#This Row],[Date]])</f>
        <v>2025</v>
      </c>
    </row>
    <row r="127" spans="1:11">
      <c r="A127" s="1">
        <v>45761</v>
      </c>
      <c r="B127" t="s">
        <v>36</v>
      </c>
      <c r="D127" t="s">
        <v>18</v>
      </c>
      <c r="E127" t="s">
        <v>18</v>
      </c>
      <c r="F127" t="s">
        <v>14</v>
      </c>
      <c r="G127">
        <v>3179</v>
      </c>
      <c r="H127" t="s">
        <v>24</v>
      </c>
      <c r="I127" t="str">
        <f>TEXT(FinanceData[[#This Row],[Date]],"dddd")</f>
        <v>Monday</v>
      </c>
      <c r="J127" t="str">
        <f>IF(OR(FinanceData[[#This Row],[Day]]="Saturday",FinanceData[[#This Row],[Day]]="Sunday"),"Weekend","Weekday")</f>
        <v>Weekday</v>
      </c>
      <c r="K127">
        <f>YEAR(FinanceData[[#This Row],[Date]])</f>
        <v>2025</v>
      </c>
    </row>
    <row r="128" spans="1:11">
      <c r="A128" s="1">
        <v>45762</v>
      </c>
      <c r="B128" t="s">
        <v>36</v>
      </c>
      <c r="D128" t="s">
        <v>32</v>
      </c>
      <c r="E128" t="s">
        <v>32</v>
      </c>
      <c r="F128" t="s">
        <v>14</v>
      </c>
      <c r="G128">
        <v>1935</v>
      </c>
      <c r="H128" t="s">
        <v>15</v>
      </c>
      <c r="I128" t="str">
        <f>TEXT(FinanceData[[#This Row],[Date]],"dddd")</f>
        <v>Tuesday</v>
      </c>
      <c r="J128" t="str">
        <f>IF(OR(FinanceData[[#This Row],[Day]]="Saturday",FinanceData[[#This Row],[Day]]="Sunday"),"Weekend","Weekday")</f>
        <v>Weekday</v>
      </c>
      <c r="K128">
        <f>YEAR(FinanceData[[#This Row],[Date]])</f>
        <v>2025</v>
      </c>
    </row>
    <row r="129" spans="1:11">
      <c r="A129" s="1">
        <v>45763</v>
      </c>
      <c r="B129" t="s">
        <v>36</v>
      </c>
      <c r="D129" t="s">
        <v>22</v>
      </c>
      <c r="E129" t="s">
        <v>22</v>
      </c>
      <c r="F129" t="s">
        <v>14</v>
      </c>
      <c r="G129">
        <v>61071</v>
      </c>
      <c r="H129" t="s">
        <v>12</v>
      </c>
      <c r="I129" t="str">
        <f>TEXT(FinanceData[[#This Row],[Date]],"dddd")</f>
        <v>Wednesday</v>
      </c>
      <c r="J129" t="str">
        <f>IF(OR(FinanceData[[#This Row],[Day]]="Saturday",FinanceData[[#This Row],[Day]]="Sunday"),"Weekend","Weekday")</f>
        <v>Weekday</v>
      </c>
      <c r="K129">
        <f>YEAR(FinanceData[[#This Row],[Date]])</f>
        <v>2025</v>
      </c>
    </row>
    <row r="130" spans="1:11">
      <c r="A130" s="1">
        <v>45764</v>
      </c>
      <c r="B130" t="s">
        <v>36</v>
      </c>
      <c r="D130" t="s">
        <v>29</v>
      </c>
      <c r="E130" t="s">
        <v>29</v>
      </c>
      <c r="F130" t="s">
        <v>14</v>
      </c>
      <c r="G130">
        <v>2844</v>
      </c>
      <c r="H130" t="s">
        <v>12</v>
      </c>
      <c r="I130" t="str">
        <f>TEXT(FinanceData[[#This Row],[Date]],"dddd")</f>
        <v>Thursday</v>
      </c>
      <c r="J130" t="str">
        <f>IF(OR(FinanceData[[#This Row],[Day]]="Saturday",FinanceData[[#This Row],[Day]]="Sunday"),"Weekend","Weekday")</f>
        <v>Weekday</v>
      </c>
      <c r="K130">
        <f>YEAR(FinanceData[[#This Row],[Date]])</f>
        <v>2025</v>
      </c>
    </row>
    <row r="131" spans="1:11">
      <c r="A131" s="1">
        <v>45765</v>
      </c>
      <c r="B131" t="s">
        <v>36</v>
      </c>
      <c r="D131" t="s">
        <v>29</v>
      </c>
      <c r="E131" t="s">
        <v>29</v>
      </c>
      <c r="F131" t="s">
        <v>14</v>
      </c>
      <c r="G131">
        <v>2613</v>
      </c>
      <c r="H131" t="s">
        <v>24</v>
      </c>
      <c r="I131" t="str">
        <f>TEXT(FinanceData[[#This Row],[Date]],"dddd")</f>
        <v>Friday</v>
      </c>
      <c r="J131" t="str">
        <f>IF(OR(FinanceData[[#This Row],[Day]]="Saturday",FinanceData[[#This Row],[Day]]="Sunday"),"Weekend","Weekday")</f>
        <v>Weekday</v>
      </c>
      <c r="K131">
        <f>YEAR(FinanceData[[#This Row],[Date]])</f>
        <v>2025</v>
      </c>
    </row>
    <row r="132" spans="1:11">
      <c r="A132" s="1">
        <v>45766</v>
      </c>
      <c r="B132" t="s">
        <v>36</v>
      </c>
      <c r="D132" t="s">
        <v>29</v>
      </c>
      <c r="E132" t="s">
        <v>29</v>
      </c>
      <c r="F132" t="s">
        <v>14</v>
      </c>
      <c r="G132">
        <v>7839</v>
      </c>
      <c r="H132" t="s">
        <v>19</v>
      </c>
      <c r="I132" t="str">
        <f>TEXT(FinanceData[[#This Row],[Date]],"dddd")</f>
        <v>Saturday</v>
      </c>
      <c r="J132" t="str">
        <f>IF(OR(FinanceData[[#This Row],[Day]]="Saturday",FinanceData[[#This Row],[Day]]="Sunday"),"Weekend","Weekday")</f>
        <v>Weekend</v>
      </c>
      <c r="K132">
        <f>YEAR(FinanceData[[#This Row],[Date]])</f>
        <v>2025</v>
      </c>
    </row>
    <row r="133" spans="1:11">
      <c r="A133" s="1">
        <v>45767</v>
      </c>
      <c r="B133" t="s">
        <v>36</v>
      </c>
      <c r="C133" t="s">
        <v>31</v>
      </c>
      <c r="E133" t="s">
        <v>31</v>
      </c>
      <c r="F133" t="s">
        <v>11</v>
      </c>
      <c r="G133">
        <v>86828</v>
      </c>
      <c r="H133" t="s">
        <v>12</v>
      </c>
      <c r="I133" t="str">
        <f>TEXT(FinanceData[[#This Row],[Date]],"dddd")</f>
        <v>Sunday</v>
      </c>
      <c r="J133" t="str">
        <f>IF(OR(FinanceData[[#This Row],[Day]]="Saturday",FinanceData[[#This Row],[Day]]="Sunday"),"Weekend","Weekday")</f>
        <v>Weekend</v>
      </c>
      <c r="K133">
        <f>YEAR(FinanceData[[#This Row],[Date]])</f>
        <v>2025</v>
      </c>
    </row>
    <row r="134" spans="1:11">
      <c r="A134" s="1">
        <v>45767</v>
      </c>
      <c r="B134" t="s">
        <v>36</v>
      </c>
      <c r="D134" t="s">
        <v>34</v>
      </c>
      <c r="E134" t="s">
        <v>34</v>
      </c>
      <c r="F134" t="s">
        <v>14</v>
      </c>
      <c r="G134">
        <v>18476</v>
      </c>
      <c r="H134" t="s">
        <v>19</v>
      </c>
      <c r="I134" t="str">
        <f>TEXT(FinanceData[[#This Row],[Date]],"dddd")</f>
        <v>Sunday</v>
      </c>
      <c r="J134" t="str">
        <f>IF(OR(FinanceData[[#This Row],[Day]]="Saturday",FinanceData[[#This Row],[Day]]="Sunday"),"Weekend","Weekday")</f>
        <v>Weekend</v>
      </c>
      <c r="K134">
        <f>YEAR(FinanceData[[#This Row],[Date]])</f>
        <v>2025</v>
      </c>
    </row>
    <row r="135" spans="1:11">
      <c r="A135" s="1">
        <v>45768</v>
      </c>
      <c r="B135" t="s">
        <v>36</v>
      </c>
      <c r="D135" t="s">
        <v>21</v>
      </c>
      <c r="E135" t="s">
        <v>21</v>
      </c>
      <c r="F135" t="s">
        <v>14</v>
      </c>
      <c r="G135">
        <v>4901</v>
      </c>
      <c r="H135" t="s">
        <v>24</v>
      </c>
      <c r="I135" t="str">
        <f>TEXT(FinanceData[[#This Row],[Date]],"dddd")</f>
        <v>Monday</v>
      </c>
      <c r="J135" t="str">
        <f>IF(OR(FinanceData[[#This Row],[Day]]="Saturday",FinanceData[[#This Row],[Day]]="Sunday"),"Weekend","Weekday")</f>
        <v>Weekday</v>
      </c>
      <c r="K135">
        <f>YEAR(FinanceData[[#This Row],[Date]])</f>
        <v>2025</v>
      </c>
    </row>
    <row r="136" spans="1:11">
      <c r="A136" s="1">
        <v>45769</v>
      </c>
      <c r="B136" t="s">
        <v>36</v>
      </c>
      <c r="D136" t="s">
        <v>30</v>
      </c>
      <c r="E136" t="s">
        <v>30</v>
      </c>
      <c r="F136" t="s">
        <v>14</v>
      </c>
      <c r="G136">
        <v>2267</v>
      </c>
      <c r="H136" t="s">
        <v>19</v>
      </c>
      <c r="I136" t="str">
        <f>TEXT(FinanceData[[#This Row],[Date]],"dddd")</f>
        <v>Tuesday</v>
      </c>
      <c r="J136" t="str">
        <f>IF(OR(FinanceData[[#This Row],[Day]]="Saturday",FinanceData[[#This Row],[Day]]="Sunday"),"Weekend","Weekday")</f>
        <v>Weekday</v>
      </c>
      <c r="K136">
        <f>YEAR(FinanceData[[#This Row],[Date]])</f>
        <v>2025</v>
      </c>
    </row>
    <row r="137" spans="1:11">
      <c r="A137" s="1">
        <v>45770</v>
      </c>
      <c r="B137" t="s">
        <v>36</v>
      </c>
      <c r="D137" t="s">
        <v>32</v>
      </c>
      <c r="E137" t="s">
        <v>32</v>
      </c>
      <c r="F137" t="s">
        <v>14</v>
      </c>
      <c r="G137">
        <v>1863</v>
      </c>
      <c r="H137" t="s">
        <v>19</v>
      </c>
      <c r="I137" t="str">
        <f>TEXT(FinanceData[[#This Row],[Date]],"dddd")</f>
        <v>Wednesday</v>
      </c>
      <c r="J137" t="str">
        <f>IF(OR(FinanceData[[#This Row],[Day]]="Saturday",FinanceData[[#This Row],[Day]]="Sunday"),"Weekend","Weekday")</f>
        <v>Weekday</v>
      </c>
      <c r="K137">
        <f>YEAR(FinanceData[[#This Row],[Date]])</f>
        <v>2025</v>
      </c>
    </row>
    <row r="138" spans="1:11">
      <c r="A138" s="1">
        <v>45771</v>
      </c>
      <c r="B138" t="s">
        <v>36</v>
      </c>
      <c r="D138" t="s">
        <v>29</v>
      </c>
      <c r="E138" t="s">
        <v>29</v>
      </c>
      <c r="F138" t="s">
        <v>14</v>
      </c>
      <c r="G138">
        <v>3035</v>
      </c>
      <c r="H138" t="s">
        <v>15</v>
      </c>
      <c r="I138" t="str">
        <f>TEXT(FinanceData[[#This Row],[Date]],"dddd")</f>
        <v>Thursday</v>
      </c>
      <c r="J138" t="str">
        <f>IF(OR(FinanceData[[#This Row],[Day]]="Saturday",FinanceData[[#This Row],[Day]]="Sunday"),"Weekend","Weekday")</f>
        <v>Weekday</v>
      </c>
      <c r="K138">
        <f>YEAR(FinanceData[[#This Row],[Date]])</f>
        <v>2025</v>
      </c>
    </row>
    <row r="139" spans="1:11">
      <c r="A139" s="1">
        <v>45772</v>
      </c>
      <c r="B139" t="s">
        <v>36</v>
      </c>
      <c r="D139" t="s">
        <v>18</v>
      </c>
      <c r="E139" t="s">
        <v>18</v>
      </c>
      <c r="F139" t="s">
        <v>14</v>
      </c>
      <c r="G139">
        <v>5126</v>
      </c>
      <c r="H139" t="s">
        <v>19</v>
      </c>
      <c r="I139" t="str">
        <f>TEXT(FinanceData[[#This Row],[Date]],"dddd")</f>
        <v>Friday</v>
      </c>
      <c r="J139" t="str">
        <f>IF(OR(FinanceData[[#This Row],[Day]]="Saturday",FinanceData[[#This Row],[Day]]="Sunday"),"Weekend","Weekday")</f>
        <v>Weekday</v>
      </c>
      <c r="K139">
        <f>YEAR(FinanceData[[#This Row],[Date]])</f>
        <v>2025</v>
      </c>
    </row>
    <row r="140" spans="1:11">
      <c r="A140" s="1">
        <v>45773</v>
      </c>
      <c r="B140" t="s">
        <v>36</v>
      </c>
      <c r="C140" t="s">
        <v>31</v>
      </c>
      <c r="E140" t="s">
        <v>31</v>
      </c>
      <c r="F140" t="s">
        <v>11</v>
      </c>
      <c r="G140">
        <v>59586</v>
      </c>
      <c r="H140" t="s">
        <v>12</v>
      </c>
      <c r="I140" t="str">
        <f>TEXT(FinanceData[[#This Row],[Date]],"dddd")</f>
        <v>Saturday</v>
      </c>
      <c r="J140" t="str">
        <f>IF(OR(FinanceData[[#This Row],[Day]]="Saturday",FinanceData[[#This Row],[Day]]="Sunday"),"Weekend","Weekday")</f>
        <v>Weekend</v>
      </c>
      <c r="K140">
        <f>YEAR(FinanceData[[#This Row],[Date]])</f>
        <v>2025</v>
      </c>
    </row>
    <row r="141" spans="1:11">
      <c r="A141" s="1">
        <v>45773</v>
      </c>
      <c r="B141" t="s">
        <v>36</v>
      </c>
      <c r="D141" t="s">
        <v>26</v>
      </c>
      <c r="E141" t="s">
        <v>26</v>
      </c>
      <c r="F141" t="s">
        <v>14</v>
      </c>
      <c r="G141">
        <v>6786</v>
      </c>
      <c r="H141" t="s">
        <v>12</v>
      </c>
      <c r="I141" t="str">
        <f>TEXT(FinanceData[[#This Row],[Date]],"dddd")</f>
        <v>Saturday</v>
      </c>
      <c r="J141" t="str">
        <f>IF(OR(FinanceData[[#This Row],[Day]]="Saturday",FinanceData[[#This Row],[Day]]="Sunday"),"Weekend","Weekday")</f>
        <v>Weekend</v>
      </c>
      <c r="K141">
        <f>YEAR(FinanceData[[#This Row],[Date]])</f>
        <v>2025</v>
      </c>
    </row>
    <row r="142" spans="1:11">
      <c r="A142" s="1">
        <v>45774</v>
      </c>
      <c r="B142" t="s">
        <v>36</v>
      </c>
      <c r="D142" t="s">
        <v>13</v>
      </c>
      <c r="E142" t="s">
        <v>13</v>
      </c>
      <c r="F142" t="s">
        <v>14</v>
      </c>
      <c r="G142">
        <v>7993</v>
      </c>
      <c r="H142" t="s">
        <v>24</v>
      </c>
      <c r="I142" t="str">
        <f>TEXT(FinanceData[[#This Row],[Date]],"dddd")</f>
        <v>Sunday</v>
      </c>
      <c r="J142" t="str">
        <f>IF(OR(FinanceData[[#This Row],[Day]]="Saturday",FinanceData[[#This Row],[Day]]="Sunday"),"Weekend","Weekday")</f>
        <v>Weekend</v>
      </c>
      <c r="K142">
        <f>YEAR(FinanceData[[#This Row],[Date]])</f>
        <v>2025</v>
      </c>
    </row>
    <row r="143" spans="1:11">
      <c r="A143" s="1">
        <v>45775</v>
      </c>
      <c r="B143" t="s">
        <v>36</v>
      </c>
      <c r="D143" t="s">
        <v>25</v>
      </c>
      <c r="E143" t="s">
        <v>25</v>
      </c>
      <c r="F143" t="s">
        <v>14</v>
      </c>
      <c r="G143">
        <v>3667</v>
      </c>
      <c r="H143" t="s">
        <v>24</v>
      </c>
      <c r="I143" t="str">
        <f>TEXT(FinanceData[[#This Row],[Date]],"dddd")</f>
        <v>Monday</v>
      </c>
      <c r="J143" t="str">
        <f>IF(OR(FinanceData[[#This Row],[Day]]="Saturday",FinanceData[[#This Row],[Day]]="Sunday"),"Weekend","Weekday")</f>
        <v>Weekday</v>
      </c>
      <c r="K143">
        <f>YEAR(FinanceData[[#This Row],[Date]])</f>
        <v>2025</v>
      </c>
    </row>
    <row r="144" spans="1:11">
      <c r="A144" s="1">
        <v>45776</v>
      </c>
      <c r="B144" t="s">
        <v>36</v>
      </c>
      <c r="C144" t="s">
        <v>20</v>
      </c>
      <c r="E144" t="s">
        <v>20</v>
      </c>
      <c r="F144" t="s">
        <v>11</v>
      </c>
      <c r="G144">
        <v>113590</v>
      </c>
      <c r="H144" t="s">
        <v>12</v>
      </c>
      <c r="I144" t="str">
        <f>TEXT(FinanceData[[#This Row],[Date]],"dddd")</f>
        <v>Tuesday</v>
      </c>
      <c r="J144" t="str">
        <f>IF(OR(FinanceData[[#This Row],[Day]]="Saturday",FinanceData[[#This Row],[Day]]="Sunday"),"Weekend","Weekday")</f>
        <v>Weekday</v>
      </c>
      <c r="K144">
        <f>YEAR(FinanceData[[#This Row],[Date]])</f>
        <v>2025</v>
      </c>
    </row>
    <row r="145" spans="1:11">
      <c r="A145" s="1">
        <v>45776</v>
      </c>
      <c r="B145" t="s">
        <v>36</v>
      </c>
      <c r="D145" t="s">
        <v>27</v>
      </c>
      <c r="E145" t="s">
        <v>27</v>
      </c>
      <c r="F145" t="s">
        <v>14</v>
      </c>
      <c r="G145">
        <v>10193</v>
      </c>
      <c r="H145" t="s">
        <v>19</v>
      </c>
      <c r="I145" t="str">
        <f>TEXT(FinanceData[[#This Row],[Date]],"dddd")</f>
        <v>Tuesday</v>
      </c>
      <c r="J145" t="str">
        <f>IF(OR(FinanceData[[#This Row],[Day]]="Saturday",FinanceData[[#This Row],[Day]]="Sunday"),"Weekend","Weekday")</f>
        <v>Weekday</v>
      </c>
      <c r="K145">
        <f>YEAR(FinanceData[[#This Row],[Date]])</f>
        <v>2025</v>
      </c>
    </row>
    <row r="146" spans="1:11">
      <c r="A146" s="1">
        <v>45777</v>
      </c>
      <c r="B146" t="s">
        <v>36</v>
      </c>
      <c r="D146" t="s">
        <v>18</v>
      </c>
      <c r="E146" t="s">
        <v>18</v>
      </c>
      <c r="F146" t="s">
        <v>14</v>
      </c>
      <c r="G146">
        <v>6957</v>
      </c>
      <c r="H146" t="s">
        <v>24</v>
      </c>
      <c r="I146" t="str">
        <f>TEXT(FinanceData[[#This Row],[Date]],"dddd")</f>
        <v>Wednesday</v>
      </c>
      <c r="J146" t="str">
        <f>IF(OR(FinanceData[[#This Row],[Day]]="Saturday",FinanceData[[#This Row],[Day]]="Sunday"),"Weekend","Weekday")</f>
        <v>Weekday</v>
      </c>
      <c r="K146">
        <f>YEAR(FinanceData[[#This Row],[Date]])</f>
        <v>2025</v>
      </c>
    </row>
    <row r="147" spans="1:11">
      <c r="A147" s="1">
        <v>45778</v>
      </c>
      <c r="B147" t="s">
        <v>37</v>
      </c>
      <c r="C147" t="s">
        <v>9</v>
      </c>
      <c r="E147" t="s">
        <v>10</v>
      </c>
      <c r="F147" t="s">
        <v>11</v>
      </c>
      <c r="G147">
        <v>450000</v>
      </c>
      <c r="H147" t="s">
        <v>12</v>
      </c>
      <c r="I147" t="str">
        <f>TEXT(FinanceData[[#This Row],[Date]],"dddd")</f>
        <v>Thursday</v>
      </c>
      <c r="J147" t="str">
        <f>IF(OR(FinanceData[[#This Row],[Day]]="Saturday",FinanceData[[#This Row],[Day]]="Sunday"),"Weekend","Weekday")</f>
        <v>Weekday</v>
      </c>
      <c r="K147">
        <f>YEAR(FinanceData[[#This Row],[Date]])</f>
        <v>2025</v>
      </c>
    </row>
    <row r="148" spans="1:11">
      <c r="A148" s="1">
        <v>45778</v>
      </c>
      <c r="B148" t="s">
        <v>37</v>
      </c>
      <c r="D148" t="s">
        <v>30</v>
      </c>
      <c r="E148" t="s">
        <v>30</v>
      </c>
      <c r="F148" t="s">
        <v>14</v>
      </c>
      <c r="G148">
        <v>5254</v>
      </c>
      <c r="H148" t="s">
        <v>24</v>
      </c>
      <c r="I148" t="str">
        <f>TEXT(FinanceData[[#This Row],[Date]],"dddd")</f>
        <v>Thursday</v>
      </c>
      <c r="J148" t="str">
        <f>IF(OR(FinanceData[[#This Row],[Day]]="Saturday",FinanceData[[#This Row],[Day]]="Sunday"),"Weekend","Weekday")</f>
        <v>Weekday</v>
      </c>
      <c r="K148">
        <f>YEAR(FinanceData[[#This Row],[Date]])</f>
        <v>2025</v>
      </c>
    </row>
    <row r="149" spans="1:11">
      <c r="A149" s="1">
        <v>45779</v>
      </c>
      <c r="B149" t="s">
        <v>37</v>
      </c>
      <c r="D149" t="s">
        <v>27</v>
      </c>
      <c r="E149" t="s">
        <v>27</v>
      </c>
      <c r="F149" t="s">
        <v>14</v>
      </c>
      <c r="G149">
        <v>16981</v>
      </c>
      <c r="H149" t="s">
        <v>15</v>
      </c>
      <c r="I149" t="str">
        <f>TEXT(FinanceData[[#This Row],[Date]],"dddd")</f>
        <v>Friday</v>
      </c>
      <c r="J149" t="str">
        <f>IF(OR(FinanceData[[#This Row],[Day]]="Saturday",FinanceData[[#This Row],[Day]]="Sunday"),"Weekend","Weekday")</f>
        <v>Weekday</v>
      </c>
      <c r="K149">
        <f>YEAR(FinanceData[[#This Row],[Date]])</f>
        <v>2025</v>
      </c>
    </row>
    <row r="150" spans="1:11">
      <c r="A150" s="1">
        <v>45780</v>
      </c>
      <c r="B150" t="s">
        <v>37</v>
      </c>
      <c r="D150" t="s">
        <v>22</v>
      </c>
      <c r="E150" t="s">
        <v>22</v>
      </c>
      <c r="F150" t="s">
        <v>14</v>
      </c>
      <c r="G150">
        <v>75083</v>
      </c>
      <c r="H150" t="s">
        <v>24</v>
      </c>
      <c r="I150" t="str">
        <f>TEXT(FinanceData[[#This Row],[Date]],"dddd")</f>
        <v>Saturday</v>
      </c>
      <c r="J150" t="str">
        <f>IF(OR(FinanceData[[#This Row],[Day]]="Saturday",FinanceData[[#This Row],[Day]]="Sunday"),"Weekend","Weekday")</f>
        <v>Weekend</v>
      </c>
      <c r="K150">
        <f>YEAR(FinanceData[[#This Row],[Date]])</f>
        <v>2025</v>
      </c>
    </row>
    <row r="151" spans="1:11">
      <c r="A151" s="1">
        <v>45781</v>
      </c>
      <c r="B151" t="s">
        <v>37</v>
      </c>
      <c r="D151" t="s">
        <v>18</v>
      </c>
      <c r="E151" t="s">
        <v>18</v>
      </c>
      <c r="F151" t="s">
        <v>14</v>
      </c>
      <c r="G151">
        <v>6241</v>
      </c>
      <c r="H151" t="s">
        <v>15</v>
      </c>
      <c r="I151" t="str">
        <f>TEXT(FinanceData[[#This Row],[Date]],"dddd")</f>
        <v>Sunday</v>
      </c>
      <c r="J151" t="str">
        <f>IF(OR(FinanceData[[#This Row],[Day]]="Saturday",FinanceData[[#This Row],[Day]]="Sunday"),"Weekend","Weekday")</f>
        <v>Weekend</v>
      </c>
      <c r="K151">
        <f>YEAR(FinanceData[[#This Row],[Date]])</f>
        <v>2025</v>
      </c>
    </row>
    <row r="152" spans="1:11">
      <c r="A152" s="1">
        <v>45782</v>
      </c>
      <c r="B152" t="s">
        <v>37</v>
      </c>
      <c r="D152" t="s">
        <v>22</v>
      </c>
      <c r="E152" t="s">
        <v>22</v>
      </c>
      <c r="F152" t="s">
        <v>14</v>
      </c>
      <c r="G152">
        <v>60248</v>
      </c>
      <c r="H152" t="s">
        <v>24</v>
      </c>
      <c r="I152" t="str">
        <f>TEXT(FinanceData[[#This Row],[Date]],"dddd")</f>
        <v>Monday</v>
      </c>
      <c r="J152" t="str">
        <f>IF(OR(FinanceData[[#This Row],[Day]]="Saturday",FinanceData[[#This Row],[Day]]="Sunday"),"Weekend","Weekday")</f>
        <v>Weekday</v>
      </c>
      <c r="K152">
        <f>YEAR(FinanceData[[#This Row],[Date]])</f>
        <v>2025</v>
      </c>
    </row>
    <row r="153" spans="1:11">
      <c r="A153" s="1">
        <v>45783</v>
      </c>
      <c r="B153" t="s">
        <v>37</v>
      </c>
      <c r="D153" t="s">
        <v>25</v>
      </c>
      <c r="E153" t="s">
        <v>25</v>
      </c>
      <c r="F153" t="s">
        <v>14</v>
      </c>
      <c r="G153">
        <v>3893</v>
      </c>
      <c r="H153" t="s">
        <v>12</v>
      </c>
      <c r="I153" t="str">
        <f>TEXT(FinanceData[[#This Row],[Date]],"dddd")</f>
        <v>Tuesday</v>
      </c>
      <c r="J153" t="str">
        <f>IF(OR(FinanceData[[#This Row],[Day]]="Saturday",FinanceData[[#This Row],[Day]]="Sunday"),"Weekend","Weekday")</f>
        <v>Weekday</v>
      </c>
      <c r="K153">
        <f>YEAR(FinanceData[[#This Row],[Date]])</f>
        <v>2025</v>
      </c>
    </row>
    <row r="154" spans="1:11">
      <c r="A154" s="1">
        <v>45784</v>
      </c>
      <c r="B154" t="s">
        <v>37</v>
      </c>
      <c r="D154" t="s">
        <v>21</v>
      </c>
      <c r="E154" t="s">
        <v>21</v>
      </c>
      <c r="F154" t="s">
        <v>14</v>
      </c>
      <c r="G154">
        <v>8600</v>
      </c>
      <c r="H154" t="s">
        <v>12</v>
      </c>
      <c r="I154" t="str">
        <f>TEXT(FinanceData[[#This Row],[Date]],"dddd")</f>
        <v>Wednesday</v>
      </c>
      <c r="J154" t="str">
        <f>IF(OR(FinanceData[[#This Row],[Day]]="Saturday",FinanceData[[#This Row],[Day]]="Sunday"),"Weekend","Weekday")</f>
        <v>Weekday</v>
      </c>
      <c r="K154">
        <f>YEAR(FinanceData[[#This Row],[Date]])</f>
        <v>2025</v>
      </c>
    </row>
    <row r="155" spans="1:11">
      <c r="A155" s="1">
        <v>45785</v>
      </c>
      <c r="B155" t="s">
        <v>37</v>
      </c>
      <c r="C155" t="s">
        <v>20</v>
      </c>
      <c r="E155" t="s">
        <v>20</v>
      </c>
      <c r="F155" t="s">
        <v>11</v>
      </c>
      <c r="G155">
        <v>124447</v>
      </c>
      <c r="H155" t="s">
        <v>12</v>
      </c>
      <c r="I155" t="str">
        <f>TEXT(FinanceData[[#This Row],[Date]],"dddd")</f>
        <v>Thursday</v>
      </c>
      <c r="J155" t="str">
        <f>IF(OR(FinanceData[[#This Row],[Day]]="Saturday",FinanceData[[#This Row],[Day]]="Sunday"),"Weekend","Weekday")</f>
        <v>Weekday</v>
      </c>
      <c r="K155">
        <f>YEAR(FinanceData[[#This Row],[Date]])</f>
        <v>2025</v>
      </c>
    </row>
    <row r="156" spans="1:11">
      <c r="A156" s="1">
        <v>45785</v>
      </c>
      <c r="B156" t="s">
        <v>37</v>
      </c>
      <c r="D156" t="s">
        <v>22</v>
      </c>
      <c r="E156" t="s">
        <v>22</v>
      </c>
      <c r="F156" t="s">
        <v>14</v>
      </c>
      <c r="G156">
        <v>73197</v>
      </c>
      <c r="H156" t="s">
        <v>12</v>
      </c>
      <c r="I156" t="str">
        <f>TEXT(FinanceData[[#This Row],[Date]],"dddd")</f>
        <v>Thursday</v>
      </c>
      <c r="J156" t="str">
        <f>IF(OR(FinanceData[[#This Row],[Day]]="Saturday",FinanceData[[#This Row],[Day]]="Sunday"),"Weekend","Weekday")</f>
        <v>Weekday</v>
      </c>
      <c r="K156">
        <f>YEAR(FinanceData[[#This Row],[Date]])</f>
        <v>2025</v>
      </c>
    </row>
    <row r="157" spans="1:11">
      <c r="A157" s="1">
        <v>45786</v>
      </c>
      <c r="B157" t="s">
        <v>37</v>
      </c>
      <c r="D157" t="s">
        <v>17</v>
      </c>
      <c r="E157" t="s">
        <v>17</v>
      </c>
      <c r="F157" t="s">
        <v>14</v>
      </c>
      <c r="G157">
        <v>10878</v>
      </c>
      <c r="H157" t="s">
        <v>24</v>
      </c>
      <c r="I157" t="str">
        <f>TEXT(FinanceData[[#This Row],[Date]],"dddd")</f>
        <v>Friday</v>
      </c>
      <c r="J157" t="str">
        <f>IF(OR(FinanceData[[#This Row],[Day]]="Saturday",FinanceData[[#This Row],[Day]]="Sunday"),"Weekend","Weekday")</f>
        <v>Weekday</v>
      </c>
      <c r="K157">
        <f>YEAR(FinanceData[[#This Row],[Date]])</f>
        <v>2025</v>
      </c>
    </row>
    <row r="158" spans="1:11">
      <c r="A158" s="1">
        <v>45787</v>
      </c>
      <c r="B158" t="s">
        <v>37</v>
      </c>
      <c r="D158" t="s">
        <v>29</v>
      </c>
      <c r="E158" t="s">
        <v>29</v>
      </c>
      <c r="F158" t="s">
        <v>14</v>
      </c>
      <c r="G158">
        <v>3175</v>
      </c>
      <c r="H158" t="s">
        <v>24</v>
      </c>
      <c r="I158" t="str">
        <f>TEXT(FinanceData[[#This Row],[Date]],"dddd")</f>
        <v>Saturday</v>
      </c>
      <c r="J158" t="str">
        <f>IF(OR(FinanceData[[#This Row],[Day]]="Saturday",FinanceData[[#This Row],[Day]]="Sunday"),"Weekend","Weekday")</f>
        <v>Weekend</v>
      </c>
      <c r="K158">
        <f>YEAR(FinanceData[[#This Row],[Date]])</f>
        <v>2025</v>
      </c>
    </row>
    <row r="159" spans="1:11">
      <c r="A159" s="1">
        <v>45788</v>
      </c>
      <c r="B159" t="s">
        <v>37</v>
      </c>
      <c r="D159" t="s">
        <v>16</v>
      </c>
      <c r="E159" t="s">
        <v>16</v>
      </c>
      <c r="F159" t="s">
        <v>14</v>
      </c>
      <c r="G159">
        <v>3473</v>
      </c>
      <c r="H159" t="s">
        <v>15</v>
      </c>
      <c r="I159" t="str">
        <f>TEXT(FinanceData[[#This Row],[Date]],"dddd")</f>
        <v>Sunday</v>
      </c>
      <c r="J159" t="str">
        <f>IF(OR(FinanceData[[#This Row],[Day]]="Saturday",FinanceData[[#This Row],[Day]]="Sunday"),"Weekend","Weekday")</f>
        <v>Weekend</v>
      </c>
      <c r="K159">
        <f>YEAR(FinanceData[[#This Row],[Date]])</f>
        <v>2025</v>
      </c>
    </row>
    <row r="160" spans="1:11">
      <c r="A160" s="1">
        <v>45789</v>
      </c>
      <c r="B160" t="s">
        <v>37</v>
      </c>
      <c r="C160" t="s">
        <v>20</v>
      </c>
      <c r="E160" t="s">
        <v>20</v>
      </c>
      <c r="F160" t="s">
        <v>11</v>
      </c>
      <c r="G160">
        <v>139476</v>
      </c>
      <c r="H160" t="s">
        <v>12</v>
      </c>
      <c r="I160" t="str">
        <f>TEXT(FinanceData[[#This Row],[Date]],"dddd")</f>
        <v>Monday</v>
      </c>
      <c r="J160" t="str">
        <f>IF(OR(FinanceData[[#This Row],[Day]]="Saturday",FinanceData[[#This Row],[Day]]="Sunday"),"Weekend","Weekday")</f>
        <v>Weekday</v>
      </c>
      <c r="K160">
        <f>YEAR(FinanceData[[#This Row],[Date]])</f>
        <v>2025</v>
      </c>
    </row>
    <row r="161" spans="1:11">
      <c r="A161" s="1">
        <v>45789</v>
      </c>
      <c r="B161" t="s">
        <v>37</v>
      </c>
      <c r="D161" t="s">
        <v>13</v>
      </c>
      <c r="E161" t="s">
        <v>13</v>
      </c>
      <c r="F161" t="s">
        <v>14</v>
      </c>
      <c r="G161">
        <v>6305</v>
      </c>
      <c r="H161" t="s">
        <v>24</v>
      </c>
      <c r="I161" t="str">
        <f>TEXT(FinanceData[[#This Row],[Date]],"dddd")</f>
        <v>Monday</v>
      </c>
      <c r="J161" t="str">
        <f>IF(OR(FinanceData[[#This Row],[Day]]="Saturday",FinanceData[[#This Row],[Day]]="Sunday"),"Weekend","Weekday")</f>
        <v>Weekday</v>
      </c>
      <c r="K161">
        <f>YEAR(FinanceData[[#This Row],[Date]])</f>
        <v>2025</v>
      </c>
    </row>
    <row r="162" spans="1:11">
      <c r="A162" s="1">
        <v>45790</v>
      </c>
      <c r="B162" t="s">
        <v>37</v>
      </c>
      <c r="D162" t="s">
        <v>22</v>
      </c>
      <c r="E162" t="s">
        <v>22</v>
      </c>
      <c r="F162" t="s">
        <v>14</v>
      </c>
      <c r="G162">
        <v>57532</v>
      </c>
      <c r="H162" t="s">
        <v>19</v>
      </c>
      <c r="I162" t="str">
        <f>TEXT(FinanceData[[#This Row],[Date]],"dddd")</f>
        <v>Tuesday</v>
      </c>
      <c r="J162" t="str">
        <f>IF(OR(FinanceData[[#This Row],[Day]]="Saturday",FinanceData[[#This Row],[Day]]="Sunday"),"Weekend","Weekday")</f>
        <v>Weekday</v>
      </c>
      <c r="K162">
        <f>YEAR(FinanceData[[#This Row],[Date]])</f>
        <v>2025</v>
      </c>
    </row>
    <row r="163" spans="1:11">
      <c r="A163" s="1">
        <v>45791</v>
      </c>
      <c r="B163" t="s">
        <v>37</v>
      </c>
      <c r="D163" t="s">
        <v>32</v>
      </c>
      <c r="E163" t="s">
        <v>32</v>
      </c>
      <c r="F163" t="s">
        <v>14</v>
      </c>
      <c r="G163">
        <v>1520</v>
      </c>
      <c r="H163" t="s">
        <v>12</v>
      </c>
      <c r="I163" t="str">
        <f>TEXT(FinanceData[[#This Row],[Date]],"dddd")</f>
        <v>Wednesday</v>
      </c>
      <c r="J163" t="str">
        <f>IF(OR(FinanceData[[#This Row],[Day]]="Saturday",FinanceData[[#This Row],[Day]]="Sunday"),"Weekend","Weekday")</f>
        <v>Weekday</v>
      </c>
      <c r="K163">
        <f>YEAR(FinanceData[[#This Row],[Date]])</f>
        <v>2025</v>
      </c>
    </row>
    <row r="164" spans="1:11">
      <c r="A164" s="1">
        <v>45792</v>
      </c>
      <c r="B164" t="s">
        <v>37</v>
      </c>
      <c r="C164" t="s">
        <v>20</v>
      </c>
      <c r="E164" t="s">
        <v>20</v>
      </c>
      <c r="F164" t="s">
        <v>11</v>
      </c>
      <c r="G164">
        <v>56058</v>
      </c>
      <c r="H164" t="s">
        <v>12</v>
      </c>
      <c r="I164" t="str">
        <f>TEXT(FinanceData[[#This Row],[Date]],"dddd")</f>
        <v>Thursday</v>
      </c>
      <c r="J164" t="str">
        <f>IF(OR(FinanceData[[#This Row],[Day]]="Saturday",FinanceData[[#This Row],[Day]]="Sunday"),"Weekend","Weekday")</f>
        <v>Weekday</v>
      </c>
      <c r="K164">
        <f>YEAR(FinanceData[[#This Row],[Date]])</f>
        <v>2025</v>
      </c>
    </row>
    <row r="165" spans="1:11">
      <c r="A165" s="1">
        <v>45792</v>
      </c>
      <c r="B165" t="s">
        <v>37</v>
      </c>
      <c r="D165" t="s">
        <v>16</v>
      </c>
      <c r="E165" t="s">
        <v>16</v>
      </c>
      <c r="F165" t="s">
        <v>14</v>
      </c>
      <c r="G165">
        <v>2755</v>
      </c>
      <c r="H165" t="s">
        <v>24</v>
      </c>
      <c r="I165" t="str">
        <f>TEXT(FinanceData[[#This Row],[Date]],"dddd")</f>
        <v>Thursday</v>
      </c>
      <c r="J165" t="str">
        <f>IF(OR(FinanceData[[#This Row],[Day]]="Saturday",FinanceData[[#This Row],[Day]]="Sunday"),"Weekend","Weekday")</f>
        <v>Weekday</v>
      </c>
      <c r="K165">
        <f>YEAR(FinanceData[[#This Row],[Date]])</f>
        <v>2025</v>
      </c>
    </row>
    <row r="166" spans="1:11">
      <c r="A166" s="1">
        <v>45793</v>
      </c>
      <c r="B166" t="s">
        <v>37</v>
      </c>
      <c r="D166" t="s">
        <v>18</v>
      </c>
      <c r="E166" t="s">
        <v>18</v>
      </c>
      <c r="F166" t="s">
        <v>14</v>
      </c>
      <c r="G166">
        <v>6895</v>
      </c>
      <c r="H166" t="s">
        <v>12</v>
      </c>
      <c r="I166" t="str">
        <f>TEXT(FinanceData[[#This Row],[Date]],"dddd")</f>
        <v>Friday</v>
      </c>
      <c r="J166" t="str">
        <f>IF(OR(FinanceData[[#This Row],[Day]]="Saturday",FinanceData[[#This Row],[Day]]="Sunday"),"Weekend","Weekday")</f>
        <v>Weekday</v>
      </c>
      <c r="K166">
        <f>YEAR(FinanceData[[#This Row],[Date]])</f>
        <v>2025</v>
      </c>
    </row>
    <row r="167" spans="1:11">
      <c r="A167" s="1">
        <v>45794</v>
      </c>
      <c r="B167" t="s">
        <v>37</v>
      </c>
      <c r="D167" t="s">
        <v>16</v>
      </c>
      <c r="E167" t="s">
        <v>16</v>
      </c>
      <c r="F167" t="s">
        <v>14</v>
      </c>
      <c r="G167">
        <v>5490</v>
      </c>
      <c r="H167" t="s">
        <v>24</v>
      </c>
      <c r="I167" t="str">
        <f>TEXT(FinanceData[[#This Row],[Date]],"dddd")</f>
        <v>Saturday</v>
      </c>
      <c r="J167" t="str">
        <f>IF(OR(FinanceData[[#This Row],[Day]]="Saturday",FinanceData[[#This Row],[Day]]="Sunday"),"Weekend","Weekday")</f>
        <v>Weekend</v>
      </c>
      <c r="K167">
        <f>YEAR(FinanceData[[#This Row],[Date]])</f>
        <v>2025</v>
      </c>
    </row>
    <row r="168" spans="1:11">
      <c r="A168" s="1">
        <v>45795</v>
      </c>
      <c r="B168" t="s">
        <v>37</v>
      </c>
      <c r="D168" t="s">
        <v>18</v>
      </c>
      <c r="E168" t="s">
        <v>18</v>
      </c>
      <c r="F168" t="s">
        <v>14</v>
      </c>
      <c r="G168">
        <v>5003</v>
      </c>
      <c r="H168" t="s">
        <v>24</v>
      </c>
      <c r="I168" t="str">
        <f>TEXT(FinanceData[[#This Row],[Date]],"dddd")</f>
        <v>Sunday</v>
      </c>
      <c r="J168" t="str">
        <f>IF(OR(FinanceData[[#This Row],[Day]]="Saturday",FinanceData[[#This Row],[Day]]="Sunday"),"Weekend","Weekday")</f>
        <v>Weekend</v>
      </c>
      <c r="K168">
        <f>YEAR(FinanceData[[#This Row],[Date]])</f>
        <v>2025</v>
      </c>
    </row>
    <row r="169" spans="1:11">
      <c r="A169" s="1">
        <v>45796</v>
      </c>
      <c r="B169" t="s">
        <v>37</v>
      </c>
      <c r="D169" t="s">
        <v>27</v>
      </c>
      <c r="E169" t="s">
        <v>27</v>
      </c>
      <c r="F169" t="s">
        <v>14</v>
      </c>
      <c r="G169">
        <v>16008</v>
      </c>
      <c r="H169" t="s">
        <v>19</v>
      </c>
      <c r="I169" t="str">
        <f>TEXT(FinanceData[[#This Row],[Date]],"dddd")</f>
        <v>Monday</v>
      </c>
      <c r="J169" t="str">
        <f>IF(OR(FinanceData[[#This Row],[Day]]="Saturday",FinanceData[[#This Row],[Day]]="Sunday"),"Weekend","Weekday")</f>
        <v>Weekday</v>
      </c>
      <c r="K169">
        <f>YEAR(FinanceData[[#This Row],[Date]])</f>
        <v>2025</v>
      </c>
    </row>
    <row r="170" spans="1:11">
      <c r="A170" s="1">
        <v>45797</v>
      </c>
      <c r="B170" t="s">
        <v>37</v>
      </c>
      <c r="D170" t="s">
        <v>25</v>
      </c>
      <c r="E170" t="s">
        <v>25</v>
      </c>
      <c r="F170" t="s">
        <v>14</v>
      </c>
      <c r="G170">
        <v>2854</v>
      </c>
      <c r="H170" t="s">
        <v>15</v>
      </c>
      <c r="I170" t="str">
        <f>TEXT(FinanceData[[#This Row],[Date]],"dddd")</f>
        <v>Tuesday</v>
      </c>
      <c r="J170" t="str">
        <f>IF(OR(FinanceData[[#This Row],[Day]]="Saturday",FinanceData[[#This Row],[Day]]="Sunday"),"Weekend","Weekday")</f>
        <v>Weekday</v>
      </c>
      <c r="K170">
        <f>YEAR(FinanceData[[#This Row],[Date]])</f>
        <v>2025</v>
      </c>
    </row>
    <row r="171" spans="1:11">
      <c r="A171" s="1">
        <v>45798</v>
      </c>
      <c r="B171" t="s">
        <v>37</v>
      </c>
      <c r="D171" t="s">
        <v>13</v>
      </c>
      <c r="E171" t="s">
        <v>13</v>
      </c>
      <c r="F171" t="s">
        <v>14</v>
      </c>
      <c r="G171">
        <v>3949</v>
      </c>
      <c r="H171" t="s">
        <v>15</v>
      </c>
      <c r="I171" t="str">
        <f>TEXT(FinanceData[[#This Row],[Date]],"dddd")</f>
        <v>Wednesday</v>
      </c>
      <c r="J171" t="str">
        <f>IF(OR(FinanceData[[#This Row],[Day]]="Saturday",FinanceData[[#This Row],[Day]]="Sunday"),"Weekend","Weekday")</f>
        <v>Weekday</v>
      </c>
      <c r="K171">
        <f>YEAR(FinanceData[[#This Row],[Date]])</f>
        <v>2025</v>
      </c>
    </row>
    <row r="172" spans="1:11">
      <c r="A172" s="1">
        <v>45799</v>
      </c>
      <c r="B172" t="s">
        <v>37</v>
      </c>
      <c r="D172" t="s">
        <v>27</v>
      </c>
      <c r="E172" t="s">
        <v>27</v>
      </c>
      <c r="F172" t="s">
        <v>14</v>
      </c>
      <c r="G172">
        <v>13396</v>
      </c>
      <c r="H172" t="s">
        <v>24</v>
      </c>
      <c r="I172" t="str">
        <f>TEXT(FinanceData[[#This Row],[Date]],"dddd")</f>
        <v>Thursday</v>
      </c>
      <c r="J172" t="str">
        <f>IF(OR(FinanceData[[#This Row],[Day]]="Saturday",FinanceData[[#This Row],[Day]]="Sunday"),"Weekend","Weekday")</f>
        <v>Weekday</v>
      </c>
      <c r="K172">
        <f>YEAR(FinanceData[[#This Row],[Date]])</f>
        <v>2025</v>
      </c>
    </row>
    <row r="173" spans="1:11">
      <c r="A173" s="1">
        <v>45800</v>
      </c>
      <c r="B173" t="s">
        <v>37</v>
      </c>
      <c r="D173" t="s">
        <v>32</v>
      </c>
      <c r="E173" t="s">
        <v>32</v>
      </c>
      <c r="F173" t="s">
        <v>14</v>
      </c>
      <c r="G173">
        <v>1218</v>
      </c>
      <c r="H173" t="s">
        <v>24</v>
      </c>
      <c r="I173" t="str">
        <f>TEXT(FinanceData[[#This Row],[Date]],"dddd")</f>
        <v>Friday</v>
      </c>
      <c r="J173" t="str">
        <f>IF(OR(FinanceData[[#This Row],[Day]]="Saturday",FinanceData[[#This Row],[Day]]="Sunday"),"Weekend","Weekday")</f>
        <v>Weekday</v>
      </c>
      <c r="K173">
        <f>YEAR(FinanceData[[#This Row],[Date]])</f>
        <v>2025</v>
      </c>
    </row>
    <row r="174" spans="1:11">
      <c r="A174" s="1">
        <v>45801</v>
      </c>
      <c r="B174" t="s">
        <v>37</v>
      </c>
      <c r="D174" t="s">
        <v>17</v>
      </c>
      <c r="E174" t="s">
        <v>17</v>
      </c>
      <c r="F174" t="s">
        <v>14</v>
      </c>
      <c r="G174">
        <v>10493</v>
      </c>
      <c r="H174" t="s">
        <v>15</v>
      </c>
      <c r="I174" t="str">
        <f>TEXT(FinanceData[[#This Row],[Date]],"dddd")</f>
        <v>Saturday</v>
      </c>
      <c r="J174" t="str">
        <f>IF(OR(FinanceData[[#This Row],[Day]]="Saturday",FinanceData[[#This Row],[Day]]="Sunday"),"Weekend","Weekday")</f>
        <v>Weekend</v>
      </c>
      <c r="K174">
        <f>YEAR(FinanceData[[#This Row],[Date]])</f>
        <v>2025</v>
      </c>
    </row>
    <row r="175" spans="1:11">
      <c r="A175" s="1">
        <v>45802</v>
      </c>
      <c r="B175" t="s">
        <v>37</v>
      </c>
      <c r="D175" t="s">
        <v>27</v>
      </c>
      <c r="E175" t="s">
        <v>27</v>
      </c>
      <c r="F175" t="s">
        <v>14</v>
      </c>
      <c r="G175">
        <v>15435</v>
      </c>
      <c r="H175" t="s">
        <v>24</v>
      </c>
      <c r="I175" t="str">
        <f>TEXT(FinanceData[[#This Row],[Date]],"dddd")</f>
        <v>Sunday</v>
      </c>
      <c r="J175" t="str">
        <f>IF(OR(FinanceData[[#This Row],[Day]]="Saturday",FinanceData[[#This Row],[Day]]="Sunday"),"Weekend","Weekday")</f>
        <v>Weekend</v>
      </c>
      <c r="K175">
        <f>YEAR(FinanceData[[#This Row],[Date]])</f>
        <v>2025</v>
      </c>
    </row>
    <row r="176" spans="1:11">
      <c r="A176" s="1">
        <v>45803</v>
      </c>
      <c r="B176" t="s">
        <v>37</v>
      </c>
      <c r="D176" t="s">
        <v>18</v>
      </c>
      <c r="E176" t="s">
        <v>18</v>
      </c>
      <c r="F176" t="s">
        <v>14</v>
      </c>
      <c r="G176">
        <v>5852</v>
      </c>
      <c r="H176" t="s">
        <v>24</v>
      </c>
      <c r="I176" t="str">
        <f>TEXT(FinanceData[[#This Row],[Date]],"dddd")</f>
        <v>Monday</v>
      </c>
      <c r="J176" t="str">
        <f>IF(OR(FinanceData[[#This Row],[Day]]="Saturday",FinanceData[[#This Row],[Day]]="Sunday"),"Weekend","Weekday")</f>
        <v>Weekday</v>
      </c>
      <c r="K176">
        <f>YEAR(FinanceData[[#This Row],[Date]])</f>
        <v>2025</v>
      </c>
    </row>
    <row r="177" spans="1:11">
      <c r="A177" s="1">
        <v>45804</v>
      </c>
      <c r="B177" t="s">
        <v>37</v>
      </c>
      <c r="C177" t="s">
        <v>31</v>
      </c>
      <c r="E177" t="s">
        <v>31</v>
      </c>
      <c r="F177" t="s">
        <v>11</v>
      </c>
      <c r="G177">
        <v>114717</v>
      </c>
      <c r="H177" t="s">
        <v>12</v>
      </c>
      <c r="I177" t="str">
        <f>TEXT(FinanceData[[#This Row],[Date]],"dddd")</f>
        <v>Tuesday</v>
      </c>
      <c r="J177" t="str">
        <f>IF(OR(FinanceData[[#This Row],[Day]]="Saturday",FinanceData[[#This Row],[Day]]="Sunday"),"Weekend","Weekday")</f>
        <v>Weekday</v>
      </c>
      <c r="K177">
        <f>YEAR(FinanceData[[#This Row],[Date]])</f>
        <v>2025</v>
      </c>
    </row>
    <row r="178" spans="1:11">
      <c r="A178" s="1">
        <v>45804</v>
      </c>
      <c r="B178" t="s">
        <v>37</v>
      </c>
      <c r="D178" t="s">
        <v>17</v>
      </c>
      <c r="E178" t="s">
        <v>17</v>
      </c>
      <c r="F178" t="s">
        <v>14</v>
      </c>
      <c r="G178">
        <v>8294</v>
      </c>
      <c r="H178" t="s">
        <v>19</v>
      </c>
      <c r="I178" t="str">
        <f>TEXT(FinanceData[[#This Row],[Date]],"dddd")</f>
        <v>Tuesday</v>
      </c>
      <c r="J178" t="str">
        <f>IF(OR(FinanceData[[#This Row],[Day]]="Saturday",FinanceData[[#This Row],[Day]]="Sunday"),"Weekend","Weekday")</f>
        <v>Weekday</v>
      </c>
      <c r="K178">
        <f>YEAR(FinanceData[[#This Row],[Date]])</f>
        <v>2025</v>
      </c>
    </row>
    <row r="179" spans="1:11">
      <c r="A179" s="1">
        <v>45805</v>
      </c>
      <c r="B179" t="s">
        <v>37</v>
      </c>
      <c r="D179" t="s">
        <v>30</v>
      </c>
      <c r="E179" t="s">
        <v>30</v>
      </c>
      <c r="F179" t="s">
        <v>14</v>
      </c>
      <c r="G179">
        <v>2966</v>
      </c>
      <c r="H179" t="s">
        <v>12</v>
      </c>
      <c r="I179" t="str">
        <f>TEXT(FinanceData[[#This Row],[Date]],"dddd")</f>
        <v>Wednesday</v>
      </c>
      <c r="J179" t="str">
        <f>IF(OR(FinanceData[[#This Row],[Day]]="Saturday",FinanceData[[#This Row],[Day]]="Sunday"),"Weekend","Weekday")</f>
        <v>Weekday</v>
      </c>
      <c r="K179">
        <f>YEAR(FinanceData[[#This Row],[Date]])</f>
        <v>2025</v>
      </c>
    </row>
    <row r="180" spans="1:11">
      <c r="A180" s="1">
        <v>45806</v>
      </c>
      <c r="B180" t="s">
        <v>37</v>
      </c>
      <c r="D180" t="s">
        <v>16</v>
      </c>
      <c r="E180" t="s">
        <v>16</v>
      </c>
      <c r="F180" t="s">
        <v>14</v>
      </c>
      <c r="G180">
        <v>4019</v>
      </c>
      <c r="H180" t="s">
        <v>15</v>
      </c>
      <c r="I180" t="str">
        <f>TEXT(FinanceData[[#This Row],[Date]],"dddd")</f>
        <v>Thursday</v>
      </c>
      <c r="J180" t="str">
        <f>IF(OR(FinanceData[[#This Row],[Day]]="Saturday",FinanceData[[#This Row],[Day]]="Sunday"),"Weekend","Weekday")</f>
        <v>Weekday</v>
      </c>
      <c r="K180">
        <f>YEAR(FinanceData[[#This Row],[Date]])</f>
        <v>2025</v>
      </c>
    </row>
    <row r="181" spans="1:11">
      <c r="A181" s="1">
        <v>45807</v>
      </c>
      <c r="B181" t="s">
        <v>37</v>
      </c>
      <c r="D181" t="s">
        <v>16</v>
      </c>
      <c r="E181" t="s">
        <v>16</v>
      </c>
      <c r="F181" t="s">
        <v>14</v>
      </c>
      <c r="G181">
        <v>5007</v>
      </c>
      <c r="H181" t="s">
        <v>19</v>
      </c>
      <c r="I181" t="str">
        <f>TEXT(FinanceData[[#This Row],[Date]],"dddd")</f>
        <v>Friday</v>
      </c>
      <c r="J181" t="str">
        <f>IF(OR(FinanceData[[#This Row],[Day]]="Saturday",FinanceData[[#This Row],[Day]]="Sunday"),"Weekend","Weekday")</f>
        <v>Weekday</v>
      </c>
      <c r="K181">
        <f>YEAR(FinanceData[[#This Row],[Date]])</f>
        <v>2025</v>
      </c>
    </row>
    <row r="182" spans="1:11">
      <c r="A182" s="1">
        <v>45808</v>
      </c>
      <c r="B182" t="s">
        <v>37</v>
      </c>
      <c r="D182" t="s">
        <v>32</v>
      </c>
      <c r="E182" t="s">
        <v>32</v>
      </c>
      <c r="F182" t="s">
        <v>14</v>
      </c>
      <c r="G182">
        <v>1418</v>
      </c>
      <c r="H182" t="s">
        <v>12</v>
      </c>
      <c r="I182" t="str">
        <f>TEXT(FinanceData[[#This Row],[Date]],"dddd")</f>
        <v>Saturday</v>
      </c>
      <c r="J182" t="str">
        <f>IF(OR(FinanceData[[#This Row],[Day]]="Saturday",FinanceData[[#This Row],[Day]]="Sunday"),"Weekend","Weekday")</f>
        <v>Weekend</v>
      </c>
      <c r="K182">
        <f>YEAR(FinanceData[[#This Row],[Date]])</f>
        <v>2025</v>
      </c>
    </row>
    <row r="183" spans="1:11">
      <c r="A183" s="1">
        <v>45809</v>
      </c>
      <c r="B183" t="s">
        <v>38</v>
      </c>
      <c r="C183" t="s">
        <v>9</v>
      </c>
      <c r="E183" t="s">
        <v>10</v>
      </c>
      <c r="F183" t="s">
        <v>11</v>
      </c>
      <c r="G183">
        <v>450000</v>
      </c>
      <c r="H183" t="s">
        <v>12</v>
      </c>
      <c r="I183" t="str">
        <f>TEXT(FinanceData[[#This Row],[Date]],"dddd")</f>
        <v>Sunday</v>
      </c>
      <c r="J183" t="str">
        <f>IF(OR(FinanceData[[#This Row],[Day]]="Saturday",FinanceData[[#This Row],[Day]]="Sunday"),"Weekend","Weekday")</f>
        <v>Weekend</v>
      </c>
      <c r="K183">
        <f>YEAR(FinanceData[[#This Row],[Date]])</f>
        <v>2025</v>
      </c>
    </row>
    <row r="184" spans="1:11">
      <c r="A184" s="1">
        <v>45809</v>
      </c>
      <c r="B184" t="s">
        <v>38</v>
      </c>
      <c r="D184" t="s">
        <v>16</v>
      </c>
      <c r="E184" t="s">
        <v>16</v>
      </c>
      <c r="F184" t="s">
        <v>14</v>
      </c>
      <c r="G184">
        <v>5092</v>
      </c>
      <c r="H184" t="s">
        <v>19</v>
      </c>
      <c r="I184" t="str">
        <f>TEXT(FinanceData[[#This Row],[Date]],"dddd")</f>
        <v>Sunday</v>
      </c>
      <c r="J184" t="str">
        <f>IF(OR(FinanceData[[#This Row],[Day]]="Saturday",FinanceData[[#This Row],[Day]]="Sunday"),"Weekend","Weekday")</f>
        <v>Weekend</v>
      </c>
      <c r="K184">
        <f>YEAR(FinanceData[[#This Row],[Date]])</f>
        <v>2025</v>
      </c>
    </row>
    <row r="185" spans="1:11">
      <c r="A185" s="1">
        <v>45810</v>
      </c>
      <c r="B185" t="s">
        <v>38</v>
      </c>
      <c r="D185" t="s">
        <v>27</v>
      </c>
      <c r="E185" t="s">
        <v>27</v>
      </c>
      <c r="F185" t="s">
        <v>14</v>
      </c>
      <c r="G185">
        <v>7021</v>
      </c>
      <c r="H185" t="s">
        <v>12</v>
      </c>
      <c r="I185" t="str">
        <f>TEXT(FinanceData[[#This Row],[Date]],"dddd")</f>
        <v>Monday</v>
      </c>
      <c r="J185" t="str">
        <f>IF(OR(FinanceData[[#This Row],[Day]]="Saturday",FinanceData[[#This Row],[Day]]="Sunday"),"Weekend","Weekday")</f>
        <v>Weekday</v>
      </c>
      <c r="K185">
        <f>YEAR(FinanceData[[#This Row],[Date]])</f>
        <v>2025</v>
      </c>
    </row>
    <row r="186" spans="1:11">
      <c r="A186" s="1">
        <v>45811</v>
      </c>
      <c r="B186" t="s">
        <v>38</v>
      </c>
      <c r="C186" t="s">
        <v>31</v>
      </c>
      <c r="E186" t="s">
        <v>31</v>
      </c>
      <c r="F186" t="s">
        <v>11</v>
      </c>
      <c r="G186">
        <v>57422</v>
      </c>
      <c r="H186" t="s">
        <v>12</v>
      </c>
      <c r="I186" t="str">
        <f>TEXT(FinanceData[[#This Row],[Date]],"dddd")</f>
        <v>Tuesday</v>
      </c>
      <c r="J186" t="str">
        <f>IF(OR(FinanceData[[#This Row],[Day]]="Saturday",FinanceData[[#This Row],[Day]]="Sunday"),"Weekend","Weekday")</f>
        <v>Weekday</v>
      </c>
      <c r="K186">
        <f>YEAR(FinanceData[[#This Row],[Date]])</f>
        <v>2025</v>
      </c>
    </row>
    <row r="187" spans="1:11">
      <c r="A187" s="1">
        <v>45811</v>
      </c>
      <c r="B187" t="s">
        <v>38</v>
      </c>
      <c r="D187" t="s">
        <v>13</v>
      </c>
      <c r="E187" t="s">
        <v>13</v>
      </c>
      <c r="F187" t="s">
        <v>14</v>
      </c>
      <c r="G187">
        <v>8248</v>
      </c>
      <c r="H187" t="s">
        <v>24</v>
      </c>
      <c r="I187" t="str">
        <f>TEXT(FinanceData[[#This Row],[Date]],"dddd")</f>
        <v>Tuesday</v>
      </c>
      <c r="J187" t="str">
        <f>IF(OR(FinanceData[[#This Row],[Day]]="Saturday",FinanceData[[#This Row],[Day]]="Sunday"),"Weekend","Weekday")</f>
        <v>Weekday</v>
      </c>
      <c r="K187">
        <f>YEAR(FinanceData[[#This Row],[Date]])</f>
        <v>2025</v>
      </c>
    </row>
    <row r="188" spans="1:11">
      <c r="A188" s="1">
        <v>45812</v>
      </c>
      <c r="B188" t="s">
        <v>38</v>
      </c>
      <c r="D188" t="s">
        <v>34</v>
      </c>
      <c r="E188" t="s">
        <v>34</v>
      </c>
      <c r="F188" t="s">
        <v>14</v>
      </c>
      <c r="G188">
        <v>24467</v>
      </c>
      <c r="H188" t="s">
        <v>19</v>
      </c>
      <c r="I188" t="str">
        <f>TEXT(FinanceData[[#This Row],[Date]],"dddd")</f>
        <v>Wednesday</v>
      </c>
      <c r="J188" t="str">
        <f>IF(OR(FinanceData[[#This Row],[Day]]="Saturday",FinanceData[[#This Row],[Day]]="Sunday"),"Weekend","Weekday")</f>
        <v>Weekday</v>
      </c>
      <c r="K188">
        <f>YEAR(FinanceData[[#This Row],[Date]])</f>
        <v>2025</v>
      </c>
    </row>
    <row r="189" spans="1:11">
      <c r="A189" s="1">
        <v>45813</v>
      </c>
      <c r="B189" t="s">
        <v>38</v>
      </c>
      <c r="D189" t="s">
        <v>29</v>
      </c>
      <c r="E189" t="s">
        <v>29</v>
      </c>
      <c r="F189" t="s">
        <v>14</v>
      </c>
      <c r="G189">
        <v>6939</v>
      </c>
      <c r="H189" t="s">
        <v>24</v>
      </c>
      <c r="I189" t="str">
        <f>TEXT(FinanceData[[#This Row],[Date]],"dddd")</f>
        <v>Thursday</v>
      </c>
      <c r="J189" t="str">
        <f>IF(OR(FinanceData[[#This Row],[Day]]="Saturday",FinanceData[[#This Row],[Day]]="Sunday"),"Weekend","Weekday")</f>
        <v>Weekday</v>
      </c>
      <c r="K189">
        <f>YEAR(FinanceData[[#This Row],[Date]])</f>
        <v>2025</v>
      </c>
    </row>
    <row r="190" spans="1:11">
      <c r="A190" s="1">
        <v>45814</v>
      </c>
      <c r="B190" t="s">
        <v>38</v>
      </c>
      <c r="D190" t="s">
        <v>22</v>
      </c>
      <c r="E190" t="s">
        <v>22</v>
      </c>
      <c r="F190" t="s">
        <v>14</v>
      </c>
      <c r="G190">
        <v>55409</v>
      </c>
      <c r="H190" t="s">
        <v>15</v>
      </c>
      <c r="I190" t="str">
        <f>TEXT(FinanceData[[#This Row],[Date]],"dddd")</f>
        <v>Friday</v>
      </c>
      <c r="J190" t="str">
        <f>IF(OR(FinanceData[[#This Row],[Day]]="Saturday",FinanceData[[#This Row],[Day]]="Sunday"),"Weekend","Weekday")</f>
        <v>Weekday</v>
      </c>
      <c r="K190">
        <f>YEAR(FinanceData[[#This Row],[Date]])</f>
        <v>2025</v>
      </c>
    </row>
    <row r="191" spans="1:11">
      <c r="A191" s="1">
        <v>45815</v>
      </c>
      <c r="B191" t="s">
        <v>38</v>
      </c>
      <c r="D191" t="s">
        <v>22</v>
      </c>
      <c r="E191" t="s">
        <v>22</v>
      </c>
      <c r="F191" t="s">
        <v>14</v>
      </c>
      <c r="G191">
        <v>58299</v>
      </c>
      <c r="H191" t="s">
        <v>19</v>
      </c>
      <c r="I191" t="str">
        <f>TEXT(FinanceData[[#This Row],[Date]],"dddd")</f>
        <v>Saturday</v>
      </c>
      <c r="J191" t="str">
        <f>IF(OR(FinanceData[[#This Row],[Day]]="Saturday",FinanceData[[#This Row],[Day]]="Sunday"),"Weekend","Weekday")</f>
        <v>Weekend</v>
      </c>
      <c r="K191">
        <f>YEAR(FinanceData[[#This Row],[Date]])</f>
        <v>2025</v>
      </c>
    </row>
    <row r="192" spans="1:11">
      <c r="A192" s="1">
        <v>45816</v>
      </c>
      <c r="B192" t="s">
        <v>38</v>
      </c>
      <c r="C192" t="s">
        <v>20</v>
      </c>
      <c r="E192" t="s">
        <v>20</v>
      </c>
      <c r="F192" t="s">
        <v>11</v>
      </c>
      <c r="G192">
        <v>164852</v>
      </c>
      <c r="H192" t="s">
        <v>12</v>
      </c>
      <c r="I192" t="str">
        <f>TEXT(FinanceData[[#This Row],[Date]],"dddd")</f>
        <v>Sunday</v>
      </c>
      <c r="J192" t="str">
        <f>IF(OR(FinanceData[[#This Row],[Day]]="Saturday",FinanceData[[#This Row],[Day]]="Sunday"),"Weekend","Weekday")</f>
        <v>Weekend</v>
      </c>
      <c r="K192">
        <f>YEAR(FinanceData[[#This Row],[Date]])</f>
        <v>2025</v>
      </c>
    </row>
    <row r="193" spans="1:11">
      <c r="A193" s="1">
        <v>45816</v>
      </c>
      <c r="B193" t="s">
        <v>38</v>
      </c>
      <c r="D193" t="s">
        <v>22</v>
      </c>
      <c r="E193" t="s">
        <v>22</v>
      </c>
      <c r="F193" t="s">
        <v>14</v>
      </c>
      <c r="G193">
        <v>69324</v>
      </c>
      <c r="H193" t="s">
        <v>15</v>
      </c>
      <c r="I193" t="str">
        <f>TEXT(FinanceData[[#This Row],[Date]],"dddd")</f>
        <v>Sunday</v>
      </c>
      <c r="J193" t="str">
        <f>IF(OR(FinanceData[[#This Row],[Day]]="Saturday",FinanceData[[#This Row],[Day]]="Sunday"),"Weekend","Weekday")</f>
        <v>Weekend</v>
      </c>
      <c r="K193">
        <f>YEAR(FinanceData[[#This Row],[Date]])</f>
        <v>2025</v>
      </c>
    </row>
    <row r="194" spans="1:11">
      <c r="A194" s="1">
        <v>45817</v>
      </c>
      <c r="B194" t="s">
        <v>38</v>
      </c>
      <c r="D194" t="s">
        <v>17</v>
      </c>
      <c r="E194" t="s">
        <v>17</v>
      </c>
      <c r="F194" t="s">
        <v>14</v>
      </c>
      <c r="G194">
        <v>9009</v>
      </c>
      <c r="H194" t="s">
        <v>19</v>
      </c>
      <c r="I194" t="str">
        <f>TEXT(FinanceData[[#This Row],[Date]],"dddd")</f>
        <v>Monday</v>
      </c>
      <c r="J194" t="str">
        <f>IF(OR(FinanceData[[#This Row],[Day]]="Saturday",FinanceData[[#This Row],[Day]]="Sunday"),"Weekend","Weekday")</f>
        <v>Weekday</v>
      </c>
      <c r="K194">
        <f>YEAR(FinanceData[[#This Row],[Date]])</f>
        <v>2025</v>
      </c>
    </row>
    <row r="195" spans="1:11">
      <c r="A195" s="1">
        <v>45818</v>
      </c>
      <c r="B195" t="s">
        <v>38</v>
      </c>
      <c r="D195" t="s">
        <v>18</v>
      </c>
      <c r="E195" t="s">
        <v>18</v>
      </c>
      <c r="F195" t="s">
        <v>14</v>
      </c>
      <c r="G195">
        <v>2898</v>
      </c>
      <c r="H195" t="s">
        <v>19</v>
      </c>
      <c r="I195" t="str">
        <f>TEXT(FinanceData[[#This Row],[Date]],"dddd")</f>
        <v>Tuesday</v>
      </c>
      <c r="J195" t="str">
        <f>IF(OR(FinanceData[[#This Row],[Day]]="Saturday",FinanceData[[#This Row],[Day]]="Sunday"),"Weekend","Weekday")</f>
        <v>Weekday</v>
      </c>
      <c r="K195">
        <f>YEAR(FinanceData[[#This Row],[Date]])</f>
        <v>2025</v>
      </c>
    </row>
    <row r="196" spans="1:11">
      <c r="A196" s="1">
        <v>45819</v>
      </c>
      <c r="B196" t="s">
        <v>38</v>
      </c>
      <c r="C196" t="s">
        <v>23</v>
      </c>
      <c r="E196" t="s">
        <v>23</v>
      </c>
      <c r="F196" t="s">
        <v>11</v>
      </c>
      <c r="G196">
        <v>166595</v>
      </c>
      <c r="H196" t="s">
        <v>12</v>
      </c>
      <c r="I196" t="str">
        <f>TEXT(FinanceData[[#This Row],[Date]],"dddd")</f>
        <v>Wednesday</v>
      </c>
      <c r="J196" t="str">
        <f>IF(OR(FinanceData[[#This Row],[Day]]="Saturday",FinanceData[[#This Row],[Day]]="Sunday"),"Weekend","Weekday")</f>
        <v>Weekday</v>
      </c>
      <c r="K196">
        <f>YEAR(FinanceData[[#This Row],[Date]])</f>
        <v>2025</v>
      </c>
    </row>
    <row r="197" spans="1:11">
      <c r="A197" s="1">
        <v>45819</v>
      </c>
      <c r="B197" t="s">
        <v>38</v>
      </c>
      <c r="D197" t="s">
        <v>30</v>
      </c>
      <c r="E197" t="s">
        <v>30</v>
      </c>
      <c r="F197" t="s">
        <v>14</v>
      </c>
      <c r="G197">
        <v>5610</v>
      </c>
      <c r="H197" t="s">
        <v>15</v>
      </c>
      <c r="I197" t="str">
        <f>TEXT(FinanceData[[#This Row],[Date]],"dddd")</f>
        <v>Wednesday</v>
      </c>
      <c r="J197" t="str">
        <f>IF(OR(FinanceData[[#This Row],[Day]]="Saturday",FinanceData[[#This Row],[Day]]="Sunday"),"Weekend","Weekday")</f>
        <v>Weekday</v>
      </c>
      <c r="K197">
        <f>YEAR(FinanceData[[#This Row],[Date]])</f>
        <v>2025</v>
      </c>
    </row>
    <row r="198" spans="1:11">
      <c r="A198" s="1">
        <v>45820</v>
      </c>
      <c r="B198" t="s">
        <v>38</v>
      </c>
      <c r="D198" t="s">
        <v>16</v>
      </c>
      <c r="E198" t="s">
        <v>16</v>
      </c>
      <c r="F198" t="s">
        <v>14</v>
      </c>
      <c r="G198">
        <v>7890</v>
      </c>
      <c r="H198" t="s">
        <v>12</v>
      </c>
      <c r="I198" t="str">
        <f>TEXT(FinanceData[[#This Row],[Date]],"dddd")</f>
        <v>Thursday</v>
      </c>
      <c r="J198" t="str">
        <f>IF(OR(FinanceData[[#This Row],[Day]]="Saturday",FinanceData[[#This Row],[Day]]="Sunday"),"Weekend","Weekday")</f>
        <v>Weekday</v>
      </c>
      <c r="K198">
        <f>YEAR(FinanceData[[#This Row],[Date]])</f>
        <v>2025</v>
      </c>
    </row>
    <row r="199" spans="1:11">
      <c r="A199" s="1">
        <v>45821</v>
      </c>
      <c r="B199" t="s">
        <v>38</v>
      </c>
      <c r="D199" t="s">
        <v>34</v>
      </c>
      <c r="E199" t="s">
        <v>34</v>
      </c>
      <c r="F199" t="s">
        <v>14</v>
      </c>
      <c r="G199">
        <v>14259</v>
      </c>
      <c r="H199" t="s">
        <v>19</v>
      </c>
      <c r="I199" t="str">
        <f>TEXT(FinanceData[[#This Row],[Date]],"dddd")</f>
        <v>Friday</v>
      </c>
      <c r="J199" t="str">
        <f>IF(OR(FinanceData[[#This Row],[Day]]="Saturday",FinanceData[[#This Row],[Day]]="Sunday"),"Weekend","Weekday")</f>
        <v>Weekday</v>
      </c>
      <c r="K199">
        <f>YEAR(FinanceData[[#This Row],[Date]])</f>
        <v>2025</v>
      </c>
    </row>
    <row r="200" spans="1:11">
      <c r="A200" s="1">
        <v>45822</v>
      </c>
      <c r="B200" t="s">
        <v>38</v>
      </c>
      <c r="D200" t="s">
        <v>16</v>
      </c>
      <c r="E200" t="s">
        <v>16</v>
      </c>
      <c r="F200" t="s">
        <v>14</v>
      </c>
      <c r="G200">
        <v>3792</v>
      </c>
      <c r="H200" t="s">
        <v>12</v>
      </c>
      <c r="I200" t="str">
        <f>TEXT(FinanceData[[#This Row],[Date]],"dddd")</f>
        <v>Saturday</v>
      </c>
      <c r="J200" t="str">
        <f>IF(OR(FinanceData[[#This Row],[Day]]="Saturday",FinanceData[[#This Row],[Day]]="Sunday"),"Weekend","Weekday")</f>
        <v>Weekend</v>
      </c>
      <c r="K200">
        <f>YEAR(FinanceData[[#This Row],[Date]])</f>
        <v>2025</v>
      </c>
    </row>
    <row r="201" spans="1:11">
      <c r="A201" s="1">
        <v>45823</v>
      </c>
      <c r="B201" t="s">
        <v>38</v>
      </c>
      <c r="D201" t="s">
        <v>22</v>
      </c>
      <c r="E201" t="s">
        <v>22</v>
      </c>
      <c r="F201" t="s">
        <v>14</v>
      </c>
      <c r="G201">
        <v>79183</v>
      </c>
      <c r="H201" t="s">
        <v>12</v>
      </c>
      <c r="I201" t="str">
        <f>TEXT(FinanceData[[#This Row],[Date]],"dddd")</f>
        <v>Sunday</v>
      </c>
      <c r="J201" t="str">
        <f>IF(OR(FinanceData[[#This Row],[Day]]="Saturday",FinanceData[[#This Row],[Day]]="Sunday"),"Weekend","Weekday")</f>
        <v>Weekend</v>
      </c>
      <c r="K201">
        <f>YEAR(FinanceData[[#This Row],[Date]])</f>
        <v>2025</v>
      </c>
    </row>
    <row r="202" spans="1:11">
      <c r="A202" s="1">
        <v>45824</v>
      </c>
      <c r="B202" t="s">
        <v>38</v>
      </c>
      <c r="D202" t="s">
        <v>18</v>
      </c>
      <c r="E202" t="s">
        <v>18</v>
      </c>
      <c r="F202" t="s">
        <v>14</v>
      </c>
      <c r="G202">
        <v>2701</v>
      </c>
      <c r="H202" t="s">
        <v>15</v>
      </c>
      <c r="I202" t="str">
        <f>TEXT(FinanceData[[#This Row],[Date]],"dddd")</f>
        <v>Monday</v>
      </c>
      <c r="J202" t="str">
        <f>IF(OR(FinanceData[[#This Row],[Day]]="Saturday",FinanceData[[#This Row],[Day]]="Sunday"),"Weekend","Weekday")</f>
        <v>Weekday</v>
      </c>
      <c r="K202">
        <f>YEAR(FinanceData[[#This Row],[Date]])</f>
        <v>2025</v>
      </c>
    </row>
    <row r="203" spans="1:11">
      <c r="A203" s="1">
        <v>45825</v>
      </c>
      <c r="B203" t="s">
        <v>38</v>
      </c>
      <c r="C203" t="s">
        <v>28</v>
      </c>
      <c r="E203" t="s">
        <v>28</v>
      </c>
      <c r="F203" t="s">
        <v>11</v>
      </c>
      <c r="G203">
        <v>167768</v>
      </c>
      <c r="H203" t="s">
        <v>12</v>
      </c>
      <c r="I203" t="str">
        <f>TEXT(FinanceData[[#This Row],[Date]],"dddd")</f>
        <v>Tuesday</v>
      </c>
      <c r="J203" t="str">
        <f>IF(OR(FinanceData[[#This Row],[Day]]="Saturday",FinanceData[[#This Row],[Day]]="Sunday"),"Weekend","Weekday")</f>
        <v>Weekday</v>
      </c>
      <c r="K203">
        <f>YEAR(FinanceData[[#This Row],[Date]])</f>
        <v>2025</v>
      </c>
    </row>
    <row r="204" spans="1:11">
      <c r="A204" s="1">
        <v>45825</v>
      </c>
      <c r="B204" t="s">
        <v>38</v>
      </c>
      <c r="D204" t="s">
        <v>18</v>
      </c>
      <c r="E204" t="s">
        <v>18</v>
      </c>
      <c r="F204" t="s">
        <v>14</v>
      </c>
      <c r="G204">
        <v>5655</v>
      </c>
      <c r="H204" t="s">
        <v>15</v>
      </c>
      <c r="I204" t="str">
        <f>TEXT(FinanceData[[#This Row],[Date]],"dddd")</f>
        <v>Tuesday</v>
      </c>
      <c r="J204" t="str">
        <f>IF(OR(FinanceData[[#This Row],[Day]]="Saturday",FinanceData[[#This Row],[Day]]="Sunday"),"Weekend","Weekday")</f>
        <v>Weekday</v>
      </c>
      <c r="K204">
        <f>YEAR(FinanceData[[#This Row],[Date]])</f>
        <v>2025</v>
      </c>
    </row>
    <row r="205" spans="1:11">
      <c r="A205" s="1">
        <v>45826</v>
      </c>
      <c r="B205" t="s">
        <v>38</v>
      </c>
      <c r="D205" t="s">
        <v>21</v>
      </c>
      <c r="E205" t="s">
        <v>21</v>
      </c>
      <c r="F205" t="s">
        <v>14</v>
      </c>
      <c r="G205">
        <v>3437</v>
      </c>
      <c r="H205" t="s">
        <v>15</v>
      </c>
      <c r="I205" t="str">
        <f>TEXT(FinanceData[[#This Row],[Date]],"dddd")</f>
        <v>Wednesday</v>
      </c>
      <c r="J205" t="str">
        <f>IF(OR(FinanceData[[#This Row],[Day]]="Saturday",FinanceData[[#This Row],[Day]]="Sunday"),"Weekend","Weekday")</f>
        <v>Weekday</v>
      </c>
      <c r="K205">
        <f>YEAR(FinanceData[[#This Row],[Date]])</f>
        <v>2025</v>
      </c>
    </row>
    <row r="206" spans="1:11">
      <c r="A206" s="1">
        <v>45827</v>
      </c>
      <c r="B206" t="s">
        <v>38</v>
      </c>
      <c r="C206" t="s">
        <v>28</v>
      </c>
      <c r="E206" t="s">
        <v>28</v>
      </c>
      <c r="F206" t="s">
        <v>11</v>
      </c>
      <c r="G206">
        <v>173325</v>
      </c>
      <c r="H206" t="s">
        <v>12</v>
      </c>
      <c r="I206" t="str">
        <f>TEXT(FinanceData[[#This Row],[Date]],"dddd")</f>
        <v>Thursday</v>
      </c>
      <c r="J206" t="str">
        <f>IF(OR(FinanceData[[#This Row],[Day]]="Saturday",FinanceData[[#This Row],[Day]]="Sunday"),"Weekend","Weekday")</f>
        <v>Weekday</v>
      </c>
      <c r="K206">
        <f>YEAR(FinanceData[[#This Row],[Date]])</f>
        <v>2025</v>
      </c>
    </row>
    <row r="207" spans="1:11">
      <c r="A207" s="1">
        <v>45827</v>
      </c>
      <c r="B207" t="s">
        <v>38</v>
      </c>
      <c r="D207" t="s">
        <v>17</v>
      </c>
      <c r="E207" t="s">
        <v>17</v>
      </c>
      <c r="F207" t="s">
        <v>14</v>
      </c>
      <c r="G207">
        <v>6889</v>
      </c>
      <c r="H207" t="s">
        <v>19</v>
      </c>
      <c r="I207" t="str">
        <f>TEXT(FinanceData[[#This Row],[Date]],"dddd")</f>
        <v>Thursday</v>
      </c>
      <c r="J207" t="str">
        <f>IF(OR(FinanceData[[#This Row],[Day]]="Saturday",FinanceData[[#This Row],[Day]]="Sunday"),"Weekend","Weekday")</f>
        <v>Weekday</v>
      </c>
      <c r="K207">
        <f>YEAR(FinanceData[[#This Row],[Date]])</f>
        <v>2025</v>
      </c>
    </row>
    <row r="208" spans="1:11">
      <c r="A208" s="1">
        <v>45828</v>
      </c>
      <c r="B208" t="s">
        <v>38</v>
      </c>
      <c r="D208" t="s">
        <v>25</v>
      </c>
      <c r="E208" t="s">
        <v>25</v>
      </c>
      <c r="F208" t="s">
        <v>14</v>
      </c>
      <c r="G208">
        <v>3882</v>
      </c>
      <c r="H208" t="s">
        <v>19</v>
      </c>
      <c r="I208" t="str">
        <f>TEXT(FinanceData[[#This Row],[Date]],"dddd")</f>
        <v>Friday</v>
      </c>
      <c r="J208" t="str">
        <f>IF(OR(FinanceData[[#This Row],[Day]]="Saturday",FinanceData[[#This Row],[Day]]="Sunday"),"Weekend","Weekday")</f>
        <v>Weekday</v>
      </c>
      <c r="K208">
        <f>YEAR(FinanceData[[#This Row],[Date]])</f>
        <v>2025</v>
      </c>
    </row>
    <row r="209" spans="1:11">
      <c r="A209" s="1">
        <v>45829</v>
      </c>
      <c r="B209" t="s">
        <v>38</v>
      </c>
      <c r="C209" t="s">
        <v>23</v>
      </c>
      <c r="E209" t="s">
        <v>23</v>
      </c>
      <c r="F209" t="s">
        <v>11</v>
      </c>
      <c r="G209">
        <v>62127</v>
      </c>
      <c r="H209" t="s">
        <v>12</v>
      </c>
      <c r="I209" t="str">
        <f>TEXT(FinanceData[[#This Row],[Date]],"dddd")</f>
        <v>Saturday</v>
      </c>
      <c r="J209" t="str">
        <f>IF(OR(FinanceData[[#This Row],[Day]]="Saturday",FinanceData[[#This Row],[Day]]="Sunday"),"Weekend","Weekday")</f>
        <v>Weekend</v>
      </c>
      <c r="K209">
        <f>YEAR(FinanceData[[#This Row],[Date]])</f>
        <v>2025</v>
      </c>
    </row>
    <row r="210" spans="1:11">
      <c r="A210" s="1">
        <v>45829</v>
      </c>
      <c r="B210" t="s">
        <v>38</v>
      </c>
      <c r="D210" t="s">
        <v>34</v>
      </c>
      <c r="E210" t="s">
        <v>34</v>
      </c>
      <c r="F210" t="s">
        <v>14</v>
      </c>
      <c r="G210">
        <v>19592</v>
      </c>
      <c r="H210" t="s">
        <v>12</v>
      </c>
      <c r="I210" t="str">
        <f>TEXT(FinanceData[[#This Row],[Date]],"dddd")</f>
        <v>Saturday</v>
      </c>
      <c r="J210" t="str">
        <f>IF(OR(FinanceData[[#This Row],[Day]]="Saturday",FinanceData[[#This Row],[Day]]="Sunday"),"Weekend","Weekday")</f>
        <v>Weekend</v>
      </c>
      <c r="K210">
        <f>YEAR(FinanceData[[#This Row],[Date]])</f>
        <v>2025</v>
      </c>
    </row>
    <row r="211" spans="1:11">
      <c r="A211" s="1">
        <v>45830</v>
      </c>
      <c r="B211" t="s">
        <v>38</v>
      </c>
      <c r="D211" t="s">
        <v>22</v>
      </c>
      <c r="E211" t="s">
        <v>22</v>
      </c>
      <c r="F211" t="s">
        <v>14</v>
      </c>
      <c r="G211">
        <v>53340</v>
      </c>
      <c r="H211" t="s">
        <v>24</v>
      </c>
      <c r="I211" t="str">
        <f>TEXT(FinanceData[[#This Row],[Date]],"dddd")</f>
        <v>Sunday</v>
      </c>
      <c r="J211" t="str">
        <f>IF(OR(FinanceData[[#This Row],[Day]]="Saturday",FinanceData[[#This Row],[Day]]="Sunday"),"Weekend","Weekday")</f>
        <v>Weekend</v>
      </c>
      <c r="K211">
        <f>YEAR(FinanceData[[#This Row],[Date]])</f>
        <v>2025</v>
      </c>
    </row>
    <row r="212" spans="1:11">
      <c r="A212" s="1">
        <v>45831</v>
      </c>
      <c r="B212" t="s">
        <v>38</v>
      </c>
      <c r="D212" t="s">
        <v>30</v>
      </c>
      <c r="E212" t="s">
        <v>30</v>
      </c>
      <c r="F212" t="s">
        <v>14</v>
      </c>
      <c r="G212">
        <v>2517</v>
      </c>
      <c r="H212" t="s">
        <v>15</v>
      </c>
      <c r="I212" t="str">
        <f>TEXT(FinanceData[[#This Row],[Date]],"dddd")</f>
        <v>Monday</v>
      </c>
      <c r="J212" t="str">
        <f>IF(OR(FinanceData[[#This Row],[Day]]="Saturday",FinanceData[[#This Row],[Day]]="Sunday"),"Weekend","Weekday")</f>
        <v>Weekday</v>
      </c>
      <c r="K212">
        <f>YEAR(FinanceData[[#This Row],[Date]])</f>
        <v>2025</v>
      </c>
    </row>
    <row r="213" spans="1:11">
      <c r="A213" s="1">
        <v>45832</v>
      </c>
      <c r="B213" t="s">
        <v>38</v>
      </c>
      <c r="D213" t="s">
        <v>26</v>
      </c>
      <c r="E213" t="s">
        <v>26</v>
      </c>
      <c r="F213" t="s">
        <v>14</v>
      </c>
      <c r="G213">
        <v>9874</v>
      </c>
      <c r="H213" t="s">
        <v>19</v>
      </c>
      <c r="I213" t="str">
        <f>TEXT(FinanceData[[#This Row],[Date]],"dddd")</f>
        <v>Tuesday</v>
      </c>
      <c r="J213" t="str">
        <f>IF(OR(FinanceData[[#This Row],[Day]]="Saturday",FinanceData[[#This Row],[Day]]="Sunday"),"Weekend","Weekday")</f>
        <v>Weekday</v>
      </c>
      <c r="K213">
        <f>YEAR(FinanceData[[#This Row],[Date]])</f>
        <v>2025</v>
      </c>
    </row>
    <row r="214" spans="1:11">
      <c r="A214" s="1">
        <v>45833</v>
      </c>
      <c r="B214" t="s">
        <v>38</v>
      </c>
      <c r="C214" t="s">
        <v>28</v>
      </c>
      <c r="E214" t="s">
        <v>28</v>
      </c>
      <c r="F214" t="s">
        <v>11</v>
      </c>
      <c r="G214">
        <v>68805</v>
      </c>
      <c r="H214" t="s">
        <v>12</v>
      </c>
      <c r="I214" t="str">
        <f>TEXT(FinanceData[[#This Row],[Date]],"dddd")</f>
        <v>Wednesday</v>
      </c>
      <c r="J214" t="str">
        <f>IF(OR(FinanceData[[#This Row],[Day]]="Saturday",FinanceData[[#This Row],[Day]]="Sunday"),"Weekend","Weekday")</f>
        <v>Weekday</v>
      </c>
      <c r="K214">
        <f>YEAR(FinanceData[[#This Row],[Date]])</f>
        <v>2025</v>
      </c>
    </row>
    <row r="215" spans="1:11">
      <c r="A215" s="1">
        <v>45833</v>
      </c>
      <c r="B215" t="s">
        <v>38</v>
      </c>
      <c r="D215" t="s">
        <v>26</v>
      </c>
      <c r="E215" t="s">
        <v>26</v>
      </c>
      <c r="F215" t="s">
        <v>14</v>
      </c>
      <c r="G215">
        <v>12114</v>
      </c>
      <c r="H215" t="s">
        <v>19</v>
      </c>
      <c r="I215" t="str">
        <f>TEXT(FinanceData[[#This Row],[Date]],"dddd")</f>
        <v>Wednesday</v>
      </c>
      <c r="J215" t="str">
        <f>IF(OR(FinanceData[[#This Row],[Day]]="Saturday",FinanceData[[#This Row],[Day]]="Sunday"),"Weekend","Weekday")</f>
        <v>Weekday</v>
      </c>
      <c r="K215">
        <f>YEAR(FinanceData[[#This Row],[Date]])</f>
        <v>2025</v>
      </c>
    </row>
    <row r="216" spans="1:11">
      <c r="A216" s="1">
        <v>45834</v>
      </c>
      <c r="B216" t="s">
        <v>38</v>
      </c>
      <c r="D216" t="s">
        <v>34</v>
      </c>
      <c r="E216" t="s">
        <v>34</v>
      </c>
      <c r="F216" t="s">
        <v>14</v>
      </c>
      <c r="G216">
        <v>18380</v>
      </c>
      <c r="H216" t="s">
        <v>19</v>
      </c>
      <c r="I216" t="str">
        <f>TEXT(FinanceData[[#This Row],[Date]],"dddd")</f>
        <v>Thursday</v>
      </c>
      <c r="J216" t="str">
        <f>IF(OR(FinanceData[[#This Row],[Day]]="Saturday",FinanceData[[#This Row],[Day]]="Sunday"),"Weekend","Weekday")</f>
        <v>Weekday</v>
      </c>
      <c r="K216">
        <f>YEAR(FinanceData[[#This Row],[Date]])</f>
        <v>2025</v>
      </c>
    </row>
    <row r="217" spans="1:11">
      <c r="A217" s="1">
        <v>45835</v>
      </c>
      <c r="B217" t="s">
        <v>38</v>
      </c>
      <c r="D217" t="s">
        <v>22</v>
      </c>
      <c r="E217" t="s">
        <v>22</v>
      </c>
      <c r="F217" t="s">
        <v>14</v>
      </c>
      <c r="G217">
        <v>73382</v>
      </c>
      <c r="H217" t="s">
        <v>19</v>
      </c>
      <c r="I217" t="str">
        <f>TEXT(FinanceData[[#This Row],[Date]],"dddd")</f>
        <v>Friday</v>
      </c>
      <c r="J217" t="str">
        <f>IF(OR(FinanceData[[#This Row],[Day]]="Saturday",FinanceData[[#This Row],[Day]]="Sunday"),"Weekend","Weekday")</f>
        <v>Weekday</v>
      </c>
      <c r="K217">
        <f>YEAR(FinanceData[[#This Row],[Date]])</f>
        <v>2025</v>
      </c>
    </row>
    <row r="218" spans="1:11">
      <c r="A218" s="1">
        <v>45836</v>
      </c>
      <c r="B218" t="s">
        <v>38</v>
      </c>
      <c r="D218" t="s">
        <v>30</v>
      </c>
      <c r="E218" t="s">
        <v>30</v>
      </c>
      <c r="F218" t="s">
        <v>14</v>
      </c>
      <c r="G218">
        <v>2374</v>
      </c>
      <c r="H218" t="s">
        <v>12</v>
      </c>
      <c r="I218" t="str">
        <f>TEXT(FinanceData[[#This Row],[Date]],"dddd")</f>
        <v>Saturday</v>
      </c>
      <c r="J218" t="str">
        <f>IF(OR(FinanceData[[#This Row],[Day]]="Saturday",FinanceData[[#This Row],[Day]]="Sunday"),"Weekend","Weekday")</f>
        <v>Weekend</v>
      </c>
      <c r="K218">
        <f>YEAR(FinanceData[[#This Row],[Date]])</f>
        <v>2025</v>
      </c>
    </row>
    <row r="219" spans="1:11">
      <c r="A219" s="1">
        <v>45837</v>
      </c>
      <c r="B219" t="s">
        <v>38</v>
      </c>
      <c r="D219" t="s">
        <v>18</v>
      </c>
      <c r="E219" t="s">
        <v>18</v>
      </c>
      <c r="F219" t="s">
        <v>14</v>
      </c>
      <c r="G219">
        <v>9323</v>
      </c>
      <c r="H219" t="s">
        <v>15</v>
      </c>
      <c r="I219" t="str">
        <f>TEXT(FinanceData[[#This Row],[Date]],"dddd")</f>
        <v>Sunday</v>
      </c>
      <c r="J219" t="str">
        <f>IF(OR(FinanceData[[#This Row],[Day]]="Saturday",FinanceData[[#This Row],[Day]]="Sunday"),"Weekend","Weekday")</f>
        <v>Weekend</v>
      </c>
      <c r="K219">
        <f>YEAR(FinanceData[[#This Row],[Date]])</f>
        <v>2025</v>
      </c>
    </row>
    <row r="220" spans="1:11">
      <c r="A220" s="1">
        <v>45838</v>
      </c>
      <c r="B220" t="s">
        <v>38</v>
      </c>
      <c r="D220" t="s">
        <v>25</v>
      </c>
      <c r="E220" t="s">
        <v>25</v>
      </c>
      <c r="F220" t="s">
        <v>14</v>
      </c>
      <c r="G220">
        <v>4016</v>
      </c>
      <c r="H220" t="s">
        <v>24</v>
      </c>
      <c r="I220" t="str">
        <f>TEXT(FinanceData[[#This Row],[Date]],"dddd")</f>
        <v>Monday</v>
      </c>
      <c r="J220" t="str">
        <f>IF(OR(FinanceData[[#This Row],[Day]]="Saturday",FinanceData[[#This Row],[Day]]="Sunday"),"Weekend","Weekday")</f>
        <v>Weekday</v>
      </c>
      <c r="K220">
        <f>YEAR(FinanceData[[#This Row],[Date]])</f>
        <v>2025</v>
      </c>
    </row>
    <row r="221" spans="1:11">
      <c r="A221" s="1">
        <v>45839</v>
      </c>
      <c r="B221" t="s">
        <v>39</v>
      </c>
      <c r="C221" t="s">
        <v>9</v>
      </c>
      <c r="E221" t="s">
        <v>10</v>
      </c>
      <c r="F221" t="s">
        <v>11</v>
      </c>
      <c r="G221">
        <v>450000</v>
      </c>
      <c r="H221" t="s">
        <v>12</v>
      </c>
      <c r="I221" t="str">
        <f>TEXT(FinanceData[[#This Row],[Date]],"dddd")</f>
        <v>Tuesday</v>
      </c>
      <c r="J221" t="str">
        <f>IF(OR(FinanceData[[#This Row],[Day]]="Saturday",FinanceData[[#This Row],[Day]]="Sunday"),"Weekend","Weekday")</f>
        <v>Weekday</v>
      </c>
      <c r="K221">
        <f>YEAR(FinanceData[[#This Row],[Date]])</f>
        <v>2025</v>
      </c>
    </row>
    <row r="222" spans="1:11">
      <c r="A222" s="1">
        <v>45839</v>
      </c>
      <c r="B222" t="s">
        <v>39</v>
      </c>
      <c r="D222" t="s">
        <v>25</v>
      </c>
      <c r="E222" t="s">
        <v>25</v>
      </c>
      <c r="F222" t="s">
        <v>14</v>
      </c>
      <c r="G222">
        <v>2106</v>
      </c>
      <c r="H222" t="s">
        <v>12</v>
      </c>
      <c r="I222" t="str">
        <f>TEXT(FinanceData[[#This Row],[Date]],"dddd")</f>
        <v>Tuesday</v>
      </c>
      <c r="J222" t="str">
        <f>IF(OR(FinanceData[[#This Row],[Day]]="Saturday",FinanceData[[#This Row],[Day]]="Sunday"),"Weekend","Weekday")</f>
        <v>Weekday</v>
      </c>
      <c r="K222">
        <f>YEAR(FinanceData[[#This Row],[Date]])</f>
        <v>2025</v>
      </c>
    </row>
    <row r="223" spans="1:11">
      <c r="A223" s="1">
        <v>45840</v>
      </c>
      <c r="B223" t="s">
        <v>39</v>
      </c>
      <c r="D223" t="s">
        <v>26</v>
      </c>
      <c r="E223" t="s">
        <v>26</v>
      </c>
      <c r="F223" t="s">
        <v>14</v>
      </c>
      <c r="G223">
        <v>19770</v>
      </c>
      <c r="H223" t="s">
        <v>12</v>
      </c>
      <c r="I223" t="str">
        <f>TEXT(FinanceData[[#This Row],[Date]],"dddd")</f>
        <v>Wednesday</v>
      </c>
      <c r="J223" t="str">
        <f>IF(OR(FinanceData[[#This Row],[Day]]="Saturday",FinanceData[[#This Row],[Day]]="Sunday"),"Weekend","Weekday")</f>
        <v>Weekday</v>
      </c>
      <c r="K223">
        <f>YEAR(FinanceData[[#This Row],[Date]])</f>
        <v>2025</v>
      </c>
    </row>
    <row r="224" spans="1:11">
      <c r="A224" s="1">
        <v>45841</v>
      </c>
      <c r="B224" t="s">
        <v>39</v>
      </c>
      <c r="D224" t="s">
        <v>29</v>
      </c>
      <c r="E224" t="s">
        <v>29</v>
      </c>
      <c r="F224" t="s">
        <v>14</v>
      </c>
      <c r="G224">
        <v>3211</v>
      </c>
      <c r="H224" t="s">
        <v>24</v>
      </c>
      <c r="I224" t="str">
        <f>TEXT(FinanceData[[#This Row],[Date]],"dddd")</f>
        <v>Thursday</v>
      </c>
      <c r="J224" t="str">
        <f>IF(OR(FinanceData[[#This Row],[Day]]="Saturday",FinanceData[[#This Row],[Day]]="Sunday"),"Weekend","Weekday")</f>
        <v>Weekday</v>
      </c>
      <c r="K224">
        <f>YEAR(FinanceData[[#This Row],[Date]])</f>
        <v>2025</v>
      </c>
    </row>
    <row r="225" spans="1:11">
      <c r="A225" s="1">
        <v>45842</v>
      </c>
      <c r="B225" t="s">
        <v>39</v>
      </c>
      <c r="C225" t="s">
        <v>20</v>
      </c>
      <c r="E225" t="s">
        <v>20</v>
      </c>
      <c r="F225" t="s">
        <v>11</v>
      </c>
      <c r="G225">
        <v>132496</v>
      </c>
      <c r="H225" t="s">
        <v>12</v>
      </c>
      <c r="I225" t="str">
        <f>TEXT(FinanceData[[#This Row],[Date]],"dddd")</f>
        <v>Friday</v>
      </c>
      <c r="J225" t="str">
        <f>IF(OR(FinanceData[[#This Row],[Day]]="Saturday",FinanceData[[#This Row],[Day]]="Sunday"),"Weekend","Weekday")</f>
        <v>Weekday</v>
      </c>
      <c r="K225">
        <f>YEAR(FinanceData[[#This Row],[Date]])</f>
        <v>2025</v>
      </c>
    </row>
    <row r="226" spans="1:11">
      <c r="A226" s="1">
        <v>45842</v>
      </c>
      <c r="B226" t="s">
        <v>39</v>
      </c>
      <c r="D226" t="s">
        <v>32</v>
      </c>
      <c r="E226" t="s">
        <v>32</v>
      </c>
      <c r="F226" t="s">
        <v>14</v>
      </c>
      <c r="G226">
        <v>3951</v>
      </c>
      <c r="H226" t="s">
        <v>19</v>
      </c>
      <c r="I226" t="str">
        <f>TEXT(FinanceData[[#This Row],[Date]],"dddd")</f>
        <v>Friday</v>
      </c>
      <c r="J226" t="str">
        <f>IF(OR(FinanceData[[#This Row],[Day]]="Saturday",FinanceData[[#This Row],[Day]]="Sunday"),"Weekend","Weekday")</f>
        <v>Weekday</v>
      </c>
      <c r="K226">
        <f>YEAR(FinanceData[[#This Row],[Date]])</f>
        <v>2025</v>
      </c>
    </row>
    <row r="227" spans="1:11">
      <c r="A227" s="1">
        <v>45843</v>
      </c>
      <c r="B227" t="s">
        <v>39</v>
      </c>
      <c r="D227" t="s">
        <v>32</v>
      </c>
      <c r="E227" t="s">
        <v>32</v>
      </c>
      <c r="F227" t="s">
        <v>14</v>
      </c>
      <c r="G227">
        <v>3963</v>
      </c>
      <c r="H227" t="s">
        <v>24</v>
      </c>
      <c r="I227" t="str">
        <f>TEXT(FinanceData[[#This Row],[Date]],"dddd")</f>
        <v>Saturday</v>
      </c>
      <c r="J227" t="str">
        <f>IF(OR(FinanceData[[#This Row],[Day]]="Saturday",FinanceData[[#This Row],[Day]]="Sunday"),"Weekend","Weekday")</f>
        <v>Weekend</v>
      </c>
      <c r="K227">
        <f>YEAR(FinanceData[[#This Row],[Date]])</f>
        <v>2025</v>
      </c>
    </row>
    <row r="228" spans="1:11">
      <c r="A228" s="1">
        <v>45844</v>
      </c>
      <c r="B228" t="s">
        <v>39</v>
      </c>
      <c r="D228" t="s">
        <v>27</v>
      </c>
      <c r="E228" t="s">
        <v>27</v>
      </c>
      <c r="F228" t="s">
        <v>14</v>
      </c>
      <c r="G228">
        <v>17453</v>
      </c>
      <c r="H228" t="s">
        <v>24</v>
      </c>
      <c r="I228" t="str">
        <f>TEXT(FinanceData[[#This Row],[Date]],"dddd")</f>
        <v>Sunday</v>
      </c>
      <c r="J228" t="str">
        <f>IF(OR(FinanceData[[#This Row],[Day]]="Saturday",FinanceData[[#This Row],[Day]]="Sunday"),"Weekend","Weekday")</f>
        <v>Weekend</v>
      </c>
      <c r="K228">
        <f>YEAR(FinanceData[[#This Row],[Date]])</f>
        <v>2025</v>
      </c>
    </row>
    <row r="229" spans="1:11">
      <c r="A229" s="1">
        <v>45845</v>
      </c>
      <c r="B229" t="s">
        <v>39</v>
      </c>
      <c r="C229" t="s">
        <v>28</v>
      </c>
      <c r="E229" t="s">
        <v>28</v>
      </c>
      <c r="F229" t="s">
        <v>11</v>
      </c>
      <c r="G229">
        <v>110996</v>
      </c>
      <c r="H229" t="s">
        <v>12</v>
      </c>
      <c r="I229" t="str">
        <f>TEXT(FinanceData[[#This Row],[Date]],"dddd")</f>
        <v>Monday</v>
      </c>
      <c r="J229" t="str">
        <f>IF(OR(FinanceData[[#This Row],[Day]]="Saturday",FinanceData[[#This Row],[Day]]="Sunday"),"Weekend","Weekday")</f>
        <v>Weekday</v>
      </c>
      <c r="K229">
        <f>YEAR(FinanceData[[#This Row],[Date]])</f>
        <v>2025</v>
      </c>
    </row>
    <row r="230" spans="1:11">
      <c r="A230" s="1">
        <v>45845</v>
      </c>
      <c r="B230" t="s">
        <v>39</v>
      </c>
      <c r="D230" t="s">
        <v>22</v>
      </c>
      <c r="E230" t="s">
        <v>22</v>
      </c>
      <c r="F230" t="s">
        <v>14</v>
      </c>
      <c r="G230">
        <v>70567</v>
      </c>
      <c r="H230" t="s">
        <v>15</v>
      </c>
      <c r="I230" t="str">
        <f>TEXT(FinanceData[[#This Row],[Date]],"dddd")</f>
        <v>Monday</v>
      </c>
      <c r="J230" t="str">
        <f>IF(OR(FinanceData[[#This Row],[Day]]="Saturday",FinanceData[[#This Row],[Day]]="Sunday"),"Weekend","Weekday")</f>
        <v>Weekday</v>
      </c>
      <c r="K230">
        <f>YEAR(FinanceData[[#This Row],[Date]])</f>
        <v>2025</v>
      </c>
    </row>
    <row r="231" spans="1:11">
      <c r="A231" s="1">
        <v>45846</v>
      </c>
      <c r="B231" t="s">
        <v>39</v>
      </c>
      <c r="D231" t="s">
        <v>21</v>
      </c>
      <c r="E231" t="s">
        <v>21</v>
      </c>
      <c r="F231" t="s">
        <v>14</v>
      </c>
      <c r="G231">
        <v>8039</v>
      </c>
      <c r="H231" t="s">
        <v>24</v>
      </c>
      <c r="I231" t="str">
        <f>TEXT(FinanceData[[#This Row],[Date]],"dddd")</f>
        <v>Tuesday</v>
      </c>
      <c r="J231" t="str">
        <f>IF(OR(FinanceData[[#This Row],[Day]]="Saturday",FinanceData[[#This Row],[Day]]="Sunday"),"Weekend","Weekday")</f>
        <v>Weekday</v>
      </c>
      <c r="K231">
        <f>YEAR(FinanceData[[#This Row],[Date]])</f>
        <v>2025</v>
      </c>
    </row>
    <row r="232" spans="1:11">
      <c r="A232" s="1">
        <v>45847</v>
      </c>
      <c r="B232" t="s">
        <v>39</v>
      </c>
      <c r="D232" t="s">
        <v>27</v>
      </c>
      <c r="E232" t="s">
        <v>27</v>
      </c>
      <c r="F232" t="s">
        <v>14</v>
      </c>
      <c r="G232">
        <v>13090</v>
      </c>
      <c r="H232" t="s">
        <v>24</v>
      </c>
      <c r="I232" t="str">
        <f>TEXT(FinanceData[[#This Row],[Date]],"dddd")</f>
        <v>Wednesday</v>
      </c>
      <c r="J232" t="str">
        <f>IF(OR(FinanceData[[#This Row],[Day]]="Saturday",FinanceData[[#This Row],[Day]]="Sunday"),"Weekend","Weekday")</f>
        <v>Weekday</v>
      </c>
      <c r="K232">
        <f>YEAR(FinanceData[[#This Row],[Date]])</f>
        <v>2025</v>
      </c>
    </row>
    <row r="233" spans="1:11">
      <c r="A233" s="1">
        <v>45848</v>
      </c>
      <c r="B233" t="s">
        <v>39</v>
      </c>
      <c r="D233" t="s">
        <v>32</v>
      </c>
      <c r="E233" t="s">
        <v>32</v>
      </c>
      <c r="F233" t="s">
        <v>14</v>
      </c>
      <c r="G233">
        <v>1073</v>
      </c>
      <c r="H233" t="s">
        <v>12</v>
      </c>
      <c r="I233" t="str">
        <f>TEXT(FinanceData[[#This Row],[Date]],"dddd")</f>
        <v>Thursday</v>
      </c>
      <c r="J233" t="str">
        <f>IF(OR(FinanceData[[#This Row],[Day]]="Saturday",FinanceData[[#This Row],[Day]]="Sunday"),"Weekend","Weekday")</f>
        <v>Weekday</v>
      </c>
      <c r="K233">
        <f>YEAR(FinanceData[[#This Row],[Date]])</f>
        <v>2025</v>
      </c>
    </row>
    <row r="234" spans="1:11">
      <c r="A234" s="1">
        <v>45849</v>
      </c>
      <c r="B234" t="s">
        <v>39</v>
      </c>
      <c r="C234" t="s">
        <v>28</v>
      </c>
      <c r="E234" t="s">
        <v>28</v>
      </c>
      <c r="F234" t="s">
        <v>11</v>
      </c>
      <c r="G234">
        <v>73971</v>
      </c>
      <c r="H234" t="s">
        <v>12</v>
      </c>
      <c r="I234" t="str">
        <f>TEXT(FinanceData[[#This Row],[Date]],"dddd")</f>
        <v>Friday</v>
      </c>
      <c r="J234" t="str">
        <f>IF(OR(FinanceData[[#This Row],[Day]]="Saturday",FinanceData[[#This Row],[Day]]="Sunday"),"Weekend","Weekday")</f>
        <v>Weekday</v>
      </c>
      <c r="K234">
        <f>YEAR(FinanceData[[#This Row],[Date]])</f>
        <v>2025</v>
      </c>
    </row>
    <row r="235" spans="1:11">
      <c r="A235" s="1">
        <v>45849</v>
      </c>
      <c r="B235" t="s">
        <v>39</v>
      </c>
      <c r="D235" t="s">
        <v>13</v>
      </c>
      <c r="E235" t="s">
        <v>13</v>
      </c>
      <c r="F235" t="s">
        <v>14</v>
      </c>
      <c r="G235">
        <v>9078</v>
      </c>
      <c r="H235" t="s">
        <v>24</v>
      </c>
      <c r="I235" t="str">
        <f>TEXT(FinanceData[[#This Row],[Date]],"dddd")</f>
        <v>Friday</v>
      </c>
      <c r="J235" t="str">
        <f>IF(OR(FinanceData[[#This Row],[Day]]="Saturday",FinanceData[[#This Row],[Day]]="Sunday"),"Weekend","Weekday")</f>
        <v>Weekday</v>
      </c>
      <c r="K235">
        <f>YEAR(FinanceData[[#This Row],[Date]])</f>
        <v>2025</v>
      </c>
    </row>
    <row r="236" spans="1:11">
      <c r="A236" s="1">
        <v>45850</v>
      </c>
      <c r="B236" t="s">
        <v>39</v>
      </c>
      <c r="C236" t="s">
        <v>28</v>
      </c>
      <c r="E236" t="s">
        <v>28</v>
      </c>
      <c r="F236" t="s">
        <v>11</v>
      </c>
      <c r="G236">
        <v>106536</v>
      </c>
      <c r="H236" t="s">
        <v>12</v>
      </c>
      <c r="I236" t="str">
        <f>TEXT(FinanceData[[#This Row],[Date]],"dddd")</f>
        <v>Saturday</v>
      </c>
      <c r="J236" t="str">
        <f>IF(OR(FinanceData[[#This Row],[Day]]="Saturday",FinanceData[[#This Row],[Day]]="Sunday"),"Weekend","Weekday")</f>
        <v>Weekend</v>
      </c>
      <c r="K236">
        <f>YEAR(FinanceData[[#This Row],[Date]])</f>
        <v>2025</v>
      </c>
    </row>
    <row r="237" spans="1:11">
      <c r="A237" s="1">
        <v>45850</v>
      </c>
      <c r="B237" t="s">
        <v>39</v>
      </c>
      <c r="D237" t="s">
        <v>16</v>
      </c>
      <c r="E237" t="s">
        <v>16</v>
      </c>
      <c r="F237" t="s">
        <v>14</v>
      </c>
      <c r="G237">
        <v>5540</v>
      </c>
      <c r="H237" t="s">
        <v>12</v>
      </c>
      <c r="I237" t="str">
        <f>TEXT(FinanceData[[#This Row],[Date]],"dddd")</f>
        <v>Saturday</v>
      </c>
      <c r="J237" t="str">
        <f>IF(OR(FinanceData[[#This Row],[Day]]="Saturday",FinanceData[[#This Row],[Day]]="Sunday"),"Weekend","Weekday")</f>
        <v>Weekend</v>
      </c>
      <c r="K237">
        <f>YEAR(FinanceData[[#This Row],[Date]])</f>
        <v>2025</v>
      </c>
    </row>
    <row r="238" spans="1:11">
      <c r="A238" s="1">
        <v>45851</v>
      </c>
      <c r="B238" t="s">
        <v>39</v>
      </c>
      <c r="D238" t="s">
        <v>17</v>
      </c>
      <c r="E238" t="s">
        <v>17</v>
      </c>
      <c r="F238" t="s">
        <v>14</v>
      </c>
      <c r="G238">
        <v>3839</v>
      </c>
      <c r="H238" t="s">
        <v>15</v>
      </c>
      <c r="I238" t="str">
        <f>TEXT(FinanceData[[#This Row],[Date]],"dddd")</f>
        <v>Sunday</v>
      </c>
      <c r="J238" t="str">
        <f>IF(OR(FinanceData[[#This Row],[Day]]="Saturday",FinanceData[[#This Row],[Day]]="Sunday"),"Weekend","Weekday")</f>
        <v>Weekend</v>
      </c>
      <c r="K238">
        <f>YEAR(FinanceData[[#This Row],[Date]])</f>
        <v>2025</v>
      </c>
    </row>
    <row r="239" spans="1:11">
      <c r="A239" s="1">
        <v>45852</v>
      </c>
      <c r="B239" t="s">
        <v>39</v>
      </c>
      <c r="D239" t="s">
        <v>13</v>
      </c>
      <c r="E239" t="s">
        <v>13</v>
      </c>
      <c r="F239" t="s">
        <v>14</v>
      </c>
      <c r="G239">
        <v>5798</v>
      </c>
      <c r="H239" t="s">
        <v>15</v>
      </c>
      <c r="I239" t="str">
        <f>TEXT(FinanceData[[#This Row],[Date]],"dddd")</f>
        <v>Monday</v>
      </c>
      <c r="J239" t="str">
        <f>IF(OR(FinanceData[[#This Row],[Day]]="Saturday",FinanceData[[#This Row],[Day]]="Sunday"),"Weekend","Weekday")</f>
        <v>Weekday</v>
      </c>
      <c r="K239">
        <f>YEAR(FinanceData[[#This Row],[Date]])</f>
        <v>2025</v>
      </c>
    </row>
    <row r="240" spans="1:11">
      <c r="A240" s="1">
        <v>45853</v>
      </c>
      <c r="B240" t="s">
        <v>39</v>
      </c>
      <c r="D240" t="s">
        <v>26</v>
      </c>
      <c r="E240" t="s">
        <v>26</v>
      </c>
      <c r="F240" t="s">
        <v>14</v>
      </c>
      <c r="G240">
        <v>20475</v>
      </c>
      <c r="H240" t="s">
        <v>12</v>
      </c>
      <c r="I240" t="str">
        <f>TEXT(FinanceData[[#This Row],[Date]],"dddd")</f>
        <v>Tuesday</v>
      </c>
      <c r="J240" t="str">
        <f>IF(OR(FinanceData[[#This Row],[Day]]="Saturday",FinanceData[[#This Row],[Day]]="Sunday"),"Weekend","Weekday")</f>
        <v>Weekday</v>
      </c>
      <c r="K240">
        <f>YEAR(FinanceData[[#This Row],[Date]])</f>
        <v>2025</v>
      </c>
    </row>
    <row r="241" spans="1:11">
      <c r="A241" s="1">
        <v>45854</v>
      </c>
      <c r="B241" t="s">
        <v>39</v>
      </c>
      <c r="C241" t="s">
        <v>23</v>
      </c>
      <c r="E241" t="s">
        <v>23</v>
      </c>
      <c r="F241" t="s">
        <v>11</v>
      </c>
      <c r="G241">
        <v>151875</v>
      </c>
      <c r="H241" t="s">
        <v>12</v>
      </c>
      <c r="I241" t="str">
        <f>TEXT(FinanceData[[#This Row],[Date]],"dddd")</f>
        <v>Wednesday</v>
      </c>
      <c r="J241" t="str">
        <f>IF(OR(FinanceData[[#This Row],[Day]]="Saturday",FinanceData[[#This Row],[Day]]="Sunday"),"Weekend","Weekday")</f>
        <v>Weekday</v>
      </c>
      <c r="K241">
        <f>YEAR(FinanceData[[#This Row],[Date]])</f>
        <v>2025</v>
      </c>
    </row>
    <row r="242" spans="1:11">
      <c r="A242" s="1">
        <v>45854</v>
      </c>
      <c r="B242" t="s">
        <v>39</v>
      </c>
      <c r="D242" t="s">
        <v>32</v>
      </c>
      <c r="E242" t="s">
        <v>32</v>
      </c>
      <c r="F242" t="s">
        <v>14</v>
      </c>
      <c r="G242">
        <v>1308</v>
      </c>
      <c r="H242" t="s">
        <v>19</v>
      </c>
      <c r="I242" t="str">
        <f>TEXT(FinanceData[[#This Row],[Date]],"dddd")</f>
        <v>Wednesday</v>
      </c>
      <c r="J242" t="str">
        <f>IF(OR(FinanceData[[#This Row],[Day]]="Saturday",FinanceData[[#This Row],[Day]]="Sunday"),"Weekend","Weekday")</f>
        <v>Weekday</v>
      </c>
      <c r="K242">
        <f>YEAR(FinanceData[[#This Row],[Date]])</f>
        <v>2025</v>
      </c>
    </row>
    <row r="243" spans="1:11">
      <c r="A243" s="1">
        <v>45855</v>
      </c>
      <c r="B243" t="s">
        <v>39</v>
      </c>
      <c r="D243" t="s">
        <v>17</v>
      </c>
      <c r="E243" t="s">
        <v>17</v>
      </c>
      <c r="F243" t="s">
        <v>14</v>
      </c>
      <c r="G243">
        <v>10175</v>
      </c>
      <c r="H243" t="s">
        <v>15</v>
      </c>
      <c r="I243" t="str">
        <f>TEXT(FinanceData[[#This Row],[Date]],"dddd")</f>
        <v>Thursday</v>
      </c>
      <c r="J243" t="str">
        <f>IF(OR(FinanceData[[#This Row],[Day]]="Saturday",FinanceData[[#This Row],[Day]]="Sunday"),"Weekend","Weekday")</f>
        <v>Weekday</v>
      </c>
      <c r="K243">
        <f>YEAR(FinanceData[[#This Row],[Date]])</f>
        <v>2025</v>
      </c>
    </row>
    <row r="244" spans="1:11">
      <c r="A244" s="1">
        <v>45856</v>
      </c>
      <c r="B244" t="s">
        <v>39</v>
      </c>
      <c r="D244" t="s">
        <v>32</v>
      </c>
      <c r="E244" t="s">
        <v>32</v>
      </c>
      <c r="F244" t="s">
        <v>14</v>
      </c>
      <c r="G244">
        <v>3623</v>
      </c>
      <c r="H244" t="s">
        <v>24</v>
      </c>
      <c r="I244" t="str">
        <f>TEXT(FinanceData[[#This Row],[Date]],"dddd")</f>
        <v>Friday</v>
      </c>
      <c r="J244" t="str">
        <f>IF(OR(FinanceData[[#This Row],[Day]]="Saturday",FinanceData[[#This Row],[Day]]="Sunday"),"Weekend","Weekday")</f>
        <v>Weekday</v>
      </c>
      <c r="K244">
        <f>YEAR(FinanceData[[#This Row],[Date]])</f>
        <v>2025</v>
      </c>
    </row>
    <row r="245" spans="1:11">
      <c r="A245" s="1">
        <v>45857</v>
      </c>
      <c r="B245" t="s">
        <v>39</v>
      </c>
      <c r="D245" t="s">
        <v>26</v>
      </c>
      <c r="E245" t="s">
        <v>26</v>
      </c>
      <c r="F245" t="s">
        <v>14</v>
      </c>
      <c r="G245">
        <v>8627</v>
      </c>
      <c r="H245" t="s">
        <v>12</v>
      </c>
      <c r="I245" t="str">
        <f>TEXT(FinanceData[[#This Row],[Date]],"dddd")</f>
        <v>Saturday</v>
      </c>
      <c r="J245" t="str">
        <f>IF(OR(FinanceData[[#This Row],[Day]]="Saturday",FinanceData[[#This Row],[Day]]="Sunday"),"Weekend","Weekday")</f>
        <v>Weekend</v>
      </c>
      <c r="K245">
        <f>YEAR(FinanceData[[#This Row],[Date]])</f>
        <v>2025</v>
      </c>
    </row>
    <row r="246" spans="1:11">
      <c r="A246" s="1">
        <v>45858</v>
      </c>
      <c r="B246" t="s">
        <v>39</v>
      </c>
      <c r="D246" t="s">
        <v>17</v>
      </c>
      <c r="E246" t="s">
        <v>17</v>
      </c>
      <c r="F246" t="s">
        <v>14</v>
      </c>
      <c r="G246">
        <v>11979</v>
      </c>
      <c r="H246" t="s">
        <v>15</v>
      </c>
      <c r="I246" t="str">
        <f>TEXT(FinanceData[[#This Row],[Date]],"dddd")</f>
        <v>Sunday</v>
      </c>
      <c r="J246" t="str">
        <f>IF(OR(FinanceData[[#This Row],[Day]]="Saturday",FinanceData[[#This Row],[Day]]="Sunday"),"Weekend","Weekday")</f>
        <v>Weekend</v>
      </c>
      <c r="K246">
        <f>YEAR(FinanceData[[#This Row],[Date]])</f>
        <v>2025</v>
      </c>
    </row>
    <row r="247" spans="1:11">
      <c r="A247" s="1">
        <v>45859</v>
      </c>
      <c r="B247" t="s">
        <v>39</v>
      </c>
      <c r="D247" t="s">
        <v>13</v>
      </c>
      <c r="E247" t="s">
        <v>13</v>
      </c>
      <c r="F247" t="s">
        <v>14</v>
      </c>
      <c r="G247">
        <v>4931</v>
      </c>
      <c r="H247" t="s">
        <v>15</v>
      </c>
      <c r="I247" t="str">
        <f>TEXT(FinanceData[[#This Row],[Date]],"dddd")</f>
        <v>Monday</v>
      </c>
      <c r="J247" t="str">
        <f>IF(OR(FinanceData[[#This Row],[Day]]="Saturday",FinanceData[[#This Row],[Day]]="Sunday"),"Weekend","Weekday")</f>
        <v>Weekday</v>
      </c>
      <c r="K247">
        <f>YEAR(FinanceData[[#This Row],[Date]])</f>
        <v>2025</v>
      </c>
    </row>
    <row r="248" spans="1:11">
      <c r="A248" s="1">
        <v>45860</v>
      </c>
      <c r="B248" t="s">
        <v>39</v>
      </c>
      <c r="D248" t="s">
        <v>30</v>
      </c>
      <c r="E248" t="s">
        <v>30</v>
      </c>
      <c r="F248" t="s">
        <v>14</v>
      </c>
      <c r="G248">
        <v>3744</v>
      </c>
      <c r="H248" t="s">
        <v>19</v>
      </c>
      <c r="I248" t="str">
        <f>TEXT(FinanceData[[#This Row],[Date]],"dddd")</f>
        <v>Tuesday</v>
      </c>
      <c r="J248" t="str">
        <f>IF(OR(FinanceData[[#This Row],[Day]]="Saturday",FinanceData[[#This Row],[Day]]="Sunday"),"Weekend","Weekday")</f>
        <v>Weekday</v>
      </c>
      <c r="K248">
        <f>YEAR(FinanceData[[#This Row],[Date]])</f>
        <v>2025</v>
      </c>
    </row>
    <row r="249" spans="1:11">
      <c r="A249" s="1">
        <v>45861</v>
      </c>
      <c r="B249" t="s">
        <v>39</v>
      </c>
      <c r="D249" t="s">
        <v>22</v>
      </c>
      <c r="E249" t="s">
        <v>22</v>
      </c>
      <c r="F249" t="s">
        <v>14</v>
      </c>
      <c r="G249">
        <v>50077</v>
      </c>
      <c r="H249" t="s">
        <v>15</v>
      </c>
      <c r="I249" t="str">
        <f>TEXT(FinanceData[[#This Row],[Date]],"dddd")</f>
        <v>Wednesday</v>
      </c>
      <c r="J249" t="str">
        <f>IF(OR(FinanceData[[#This Row],[Day]]="Saturday",FinanceData[[#This Row],[Day]]="Sunday"),"Weekend","Weekday")</f>
        <v>Weekday</v>
      </c>
      <c r="K249">
        <f>YEAR(FinanceData[[#This Row],[Date]])</f>
        <v>2025</v>
      </c>
    </row>
    <row r="250" spans="1:11">
      <c r="A250" s="1">
        <v>45862</v>
      </c>
      <c r="B250" t="s">
        <v>39</v>
      </c>
      <c r="D250" t="s">
        <v>34</v>
      </c>
      <c r="E250" t="s">
        <v>34</v>
      </c>
      <c r="F250" t="s">
        <v>14</v>
      </c>
      <c r="G250">
        <v>15686</v>
      </c>
      <c r="H250" t="s">
        <v>12</v>
      </c>
      <c r="I250" t="str">
        <f>TEXT(FinanceData[[#This Row],[Date]],"dddd")</f>
        <v>Thursday</v>
      </c>
      <c r="J250" t="str">
        <f>IF(OR(FinanceData[[#This Row],[Day]]="Saturday",FinanceData[[#This Row],[Day]]="Sunday"),"Weekend","Weekday")</f>
        <v>Weekday</v>
      </c>
      <c r="K250">
        <f>YEAR(FinanceData[[#This Row],[Date]])</f>
        <v>2025</v>
      </c>
    </row>
    <row r="251" spans="1:11">
      <c r="A251" s="1">
        <v>45863</v>
      </c>
      <c r="B251" t="s">
        <v>39</v>
      </c>
      <c r="D251" t="s">
        <v>18</v>
      </c>
      <c r="E251" t="s">
        <v>18</v>
      </c>
      <c r="F251" t="s">
        <v>14</v>
      </c>
      <c r="G251">
        <v>2026</v>
      </c>
      <c r="H251" t="s">
        <v>19</v>
      </c>
      <c r="I251" t="str">
        <f>TEXT(FinanceData[[#This Row],[Date]],"dddd")</f>
        <v>Friday</v>
      </c>
      <c r="J251" t="str">
        <f>IF(OR(FinanceData[[#This Row],[Day]]="Saturday",FinanceData[[#This Row],[Day]]="Sunday"),"Weekend","Weekday")</f>
        <v>Weekday</v>
      </c>
      <c r="K251">
        <f>YEAR(FinanceData[[#This Row],[Date]])</f>
        <v>2025</v>
      </c>
    </row>
    <row r="252" spans="1:11">
      <c r="A252" s="1">
        <v>45864</v>
      </c>
      <c r="B252" t="s">
        <v>39</v>
      </c>
      <c r="D252" t="s">
        <v>30</v>
      </c>
      <c r="E252" t="s">
        <v>30</v>
      </c>
      <c r="F252" t="s">
        <v>14</v>
      </c>
      <c r="G252">
        <v>5343</v>
      </c>
      <c r="H252" t="s">
        <v>12</v>
      </c>
      <c r="I252" t="str">
        <f>TEXT(FinanceData[[#This Row],[Date]],"dddd")</f>
        <v>Saturday</v>
      </c>
      <c r="J252" t="str">
        <f>IF(OR(FinanceData[[#This Row],[Day]]="Saturday",FinanceData[[#This Row],[Day]]="Sunday"),"Weekend","Weekday")</f>
        <v>Weekend</v>
      </c>
      <c r="K252">
        <f>YEAR(FinanceData[[#This Row],[Date]])</f>
        <v>2025</v>
      </c>
    </row>
    <row r="253" spans="1:11">
      <c r="A253" s="1">
        <v>45865</v>
      </c>
      <c r="B253" t="s">
        <v>39</v>
      </c>
      <c r="D253" t="s">
        <v>27</v>
      </c>
      <c r="E253" t="s">
        <v>27</v>
      </c>
      <c r="F253" t="s">
        <v>14</v>
      </c>
      <c r="G253">
        <v>8552</v>
      </c>
      <c r="H253" t="s">
        <v>19</v>
      </c>
      <c r="I253" t="str">
        <f>TEXT(FinanceData[[#This Row],[Date]],"dddd")</f>
        <v>Sunday</v>
      </c>
      <c r="J253" t="str">
        <f>IF(OR(FinanceData[[#This Row],[Day]]="Saturday",FinanceData[[#This Row],[Day]]="Sunday"),"Weekend","Weekday")</f>
        <v>Weekend</v>
      </c>
      <c r="K253">
        <f>YEAR(FinanceData[[#This Row],[Date]])</f>
        <v>2025</v>
      </c>
    </row>
    <row r="254" spans="1:11">
      <c r="A254" s="1">
        <v>45866</v>
      </c>
      <c r="B254" t="s">
        <v>39</v>
      </c>
      <c r="D254" t="s">
        <v>27</v>
      </c>
      <c r="E254" t="s">
        <v>27</v>
      </c>
      <c r="F254" t="s">
        <v>14</v>
      </c>
      <c r="G254">
        <v>15010</v>
      </c>
      <c r="H254" t="s">
        <v>19</v>
      </c>
      <c r="I254" t="str">
        <f>TEXT(FinanceData[[#This Row],[Date]],"dddd")</f>
        <v>Monday</v>
      </c>
      <c r="J254" t="str">
        <f>IF(OR(FinanceData[[#This Row],[Day]]="Saturday",FinanceData[[#This Row],[Day]]="Sunday"),"Weekend","Weekday")</f>
        <v>Weekday</v>
      </c>
      <c r="K254">
        <f>YEAR(FinanceData[[#This Row],[Date]])</f>
        <v>2025</v>
      </c>
    </row>
    <row r="255" spans="1:11">
      <c r="A255" s="1">
        <v>45867</v>
      </c>
      <c r="B255" t="s">
        <v>39</v>
      </c>
      <c r="C255" t="s">
        <v>28</v>
      </c>
      <c r="E255" t="s">
        <v>28</v>
      </c>
      <c r="F255" t="s">
        <v>11</v>
      </c>
      <c r="G255">
        <v>69370</v>
      </c>
      <c r="H255" t="s">
        <v>12</v>
      </c>
      <c r="I255" t="str">
        <f>TEXT(FinanceData[[#This Row],[Date]],"dddd")</f>
        <v>Tuesday</v>
      </c>
      <c r="J255" t="str">
        <f>IF(OR(FinanceData[[#This Row],[Day]]="Saturday",FinanceData[[#This Row],[Day]]="Sunday"),"Weekend","Weekday")</f>
        <v>Weekday</v>
      </c>
      <c r="K255">
        <f>YEAR(FinanceData[[#This Row],[Date]])</f>
        <v>2025</v>
      </c>
    </row>
    <row r="256" spans="1:11">
      <c r="A256" s="1">
        <v>45867</v>
      </c>
      <c r="B256" t="s">
        <v>39</v>
      </c>
      <c r="D256" t="s">
        <v>21</v>
      </c>
      <c r="E256" t="s">
        <v>21</v>
      </c>
      <c r="F256" t="s">
        <v>14</v>
      </c>
      <c r="G256">
        <v>6939</v>
      </c>
      <c r="H256" t="s">
        <v>24</v>
      </c>
      <c r="I256" t="str">
        <f>TEXT(FinanceData[[#This Row],[Date]],"dddd")</f>
        <v>Tuesday</v>
      </c>
      <c r="J256" t="str">
        <f>IF(OR(FinanceData[[#This Row],[Day]]="Saturday",FinanceData[[#This Row],[Day]]="Sunday"),"Weekend","Weekday")</f>
        <v>Weekday</v>
      </c>
      <c r="K256">
        <f>YEAR(FinanceData[[#This Row],[Date]])</f>
        <v>2025</v>
      </c>
    </row>
    <row r="257" spans="1:11">
      <c r="A257" s="1">
        <v>45868</v>
      </c>
      <c r="B257" t="s">
        <v>39</v>
      </c>
      <c r="C257" t="s">
        <v>28</v>
      </c>
      <c r="E257" t="s">
        <v>28</v>
      </c>
      <c r="F257" t="s">
        <v>11</v>
      </c>
      <c r="G257">
        <v>80249</v>
      </c>
      <c r="H257" t="s">
        <v>12</v>
      </c>
      <c r="I257" t="str">
        <f>TEXT(FinanceData[[#This Row],[Date]],"dddd")</f>
        <v>Wednesday</v>
      </c>
      <c r="J257" t="str">
        <f>IF(OR(FinanceData[[#This Row],[Day]]="Saturday",FinanceData[[#This Row],[Day]]="Sunday"),"Weekend","Weekday")</f>
        <v>Weekday</v>
      </c>
      <c r="K257">
        <f>YEAR(FinanceData[[#This Row],[Date]])</f>
        <v>2025</v>
      </c>
    </row>
    <row r="258" spans="1:11">
      <c r="A258" s="1">
        <v>45868</v>
      </c>
      <c r="B258" t="s">
        <v>39</v>
      </c>
      <c r="D258" t="s">
        <v>30</v>
      </c>
      <c r="E258" t="s">
        <v>30</v>
      </c>
      <c r="F258" t="s">
        <v>14</v>
      </c>
      <c r="G258">
        <v>5423</v>
      </c>
      <c r="H258" t="s">
        <v>12</v>
      </c>
      <c r="I258" t="str">
        <f>TEXT(FinanceData[[#This Row],[Date]],"dddd")</f>
        <v>Wednesday</v>
      </c>
      <c r="J258" t="str">
        <f>IF(OR(FinanceData[[#This Row],[Day]]="Saturday",FinanceData[[#This Row],[Day]]="Sunday"),"Weekend","Weekday")</f>
        <v>Weekday</v>
      </c>
      <c r="K258">
        <f>YEAR(FinanceData[[#This Row],[Date]])</f>
        <v>2025</v>
      </c>
    </row>
    <row r="259" spans="1:11">
      <c r="A259" s="1">
        <v>45869</v>
      </c>
      <c r="B259" t="s">
        <v>39</v>
      </c>
      <c r="D259" t="s">
        <v>18</v>
      </c>
      <c r="E259" t="s">
        <v>18</v>
      </c>
      <c r="F259" t="s">
        <v>14</v>
      </c>
      <c r="G259">
        <v>11333</v>
      </c>
      <c r="H259" t="s">
        <v>24</v>
      </c>
      <c r="I259" t="str">
        <f>TEXT(FinanceData[[#This Row],[Date]],"dddd")</f>
        <v>Thursday</v>
      </c>
      <c r="J259" t="str">
        <f>IF(OR(FinanceData[[#This Row],[Day]]="Saturday",FinanceData[[#This Row],[Day]]="Sunday"),"Weekend","Weekday")</f>
        <v>Weekday</v>
      </c>
      <c r="K259">
        <f>YEAR(FinanceData[[#This Row],[Date]])</f>
        <v>2025</v>
      </c>
    </row>
    <row r="260" spans="1:11">
      <c r="A260" s="1">
        <v>45870</v>
      </c>
      <c r="B260" t="s">
        <v>40</v>
      </c>
      <c r="C260" t="s">
        <v>9</v>
      </c>
      <c r="E260" t="s">
        <v>10</v>
      </c>
      <c r="F260" t="s">
        <v>11</v>
      </c>
      <c r="G260">
        <v>450000</v>
      </c>
      <c r="H260" t="s">
        <v>12</v>
      </c>
      <c r="I260" t="str">
        <f>TEXT(FinanceData[[#This Row],[Date]],"dddd")</f>
        <v>Friday</v>
      </c>
      <c r="J260" t="str">
        <f>IF(OR(FinanceData[[#This Row],[Day]]="Saturday",FinanceData[[#This Row],[Day]]="Sunday"),"Weekend","Weekday")</f>
        <v>Weekday</v>
      </c>
      <c r="K260">
        <f>YEAR(FinanceData[[#This Row],[Date]])</f>
        <v>2025</v>
      </c>
    </row>
    <row r="261" spans="1:11">
      <c r="A261" s="1">
        <v>45870</v>
      </c>
      <c r="B261" t="s">
        <v>40</v>
      </c>
      <c r="D261" t="s">
        <v>30</v>
      </c>
      <c r="E261" t="s">
        <v>30</v>
      </c>
      <c r="F261" t="s">
        <v>14</v>
      </c>
      <c r="G261">
        <v>3152</v>
      </c>
      <c r="H261" t="s">
        <v>12</v>
      </c>
      <c r="I261" t="str">
        <f>TEXT(FinanceData[[#This Row],[Date]],"dddd")</f>
        <v>Friday</v>
      </c>
      <c r="J261" t="str">
        <f>IF(OR(FinanceData[[#This Row],[Day]]="Saturday",FinanceData[[#This Row],[Day]]="Sunday"),"Weekend","Weekday")</f>
        <v>Weekday</v>
      </c>
      <c r="K261">
        <f>YEAR(FinanceData[[#This Row],[Date]])</f>
        <v>2025</v>
      </c>
    </row>
    <row r="262" spans="1:11">
      <c r="A262" s="1">
        <v>45871</v>
      </c>
      <c r="B262" t="s">
        <v>40</v>
      </c>
      <c r="D262" t="s">
        <v>29</v>
      </c>
      <c r="E262" t="s">
        <v>29</v>
      </c>
      <c r="F262" t="s">
        <v>14</v>
      </c>
      <c r="G262">
        <v>9770</v>
      </c>
      <c r="H262" t="s">
        <v>24</v>
      </c>
      <c r="I262" t="str">
        <f>TEXT(FinanceData[[#This Row],[Date]],"dddd")</f>
        <v>Saturday</v>
      </c>
      <c r="J262" t="str">
        <f>IF(OR(FinanceData[[#This Row],[Day]]="Saturday",FinanceData[[#This Row],[Day]]="Sunday"),"Weekend","Weekday")</f>
        <v>Weekend</v>
      </c>
      <c r="K262">
        <f>YEAR(FinanceData[[#This Row],[Date]])</f>
        <v>2025</v>
      </c>
    </row>
    <row r="263" spans="1:11">
      <c r="A263" s="1">
        <v>45872</v>
      </c>
      <c r="B263" t="s">
        <v>40</v>
      </c>
      <c r="D263" t="s">
        <v>16</v>
      </c>
      <c r="E263" t="s">
        <v>16</v>
      </c>
      <c r="F263" t="s">
        <v>14</v>
      </c>
      <c r="G263">
        <v>1259</v>
      </c>
      <c r="H263" t="s">
        <v>19</v>
      </c>
      <c r="I263" t="str">
        <f>TEXT(FinanceData[[#This Row],[Date]],"dddd")</f>
        <v>Sunday</v>
      </c>
      <c r="J263" t="str">
        <f>IF(OR(FinanceData[[#This Row],[Day]]="Saturday",FinanceData[[#This Row],[Day]]="Sunday"),"Weekend","Weekday")</f>
        <v>Weekend</v>
      </c>
      <c r="K263">
        <f>YEAR(FinanceData[[#This Row],[Date]])</f>
        <v>2025</v>
      </c>
    </row>
    <row r="264" spans="1:11">
      <c r="A264" s="1">
        <v>45873</v>
      </c>
      <c r="B264" t="s">
        <v>40</v>
      </c>
      <c r="C264" t="s">
        <v>20</v>
      </c>
      <c r="E264" t="s">
        <v>20</v>
      </c>
      <c r="F264" t="s">
        <v>11</v>
      </c>
      <c r="G264">
        <v>166869</v>
      </c>
      <c r="H264" t="s">
        <v>12</v>
      </c>
      <c r="I264" t="str">
        <f>TEXT(FinanceData[[#This Row],[Date]],"dddd")</f>
        <v>Monday</v>
      </c>
      <c r="J264" t="str">
        <f>IF(OR(FinanceData[[#This Row],[Day]]="Saturday",FinanceData[[#This Row],[Day]]="Sunday"),"Weekend","Weekday")</f>
        <v>Weekday</v>
      </c>
      <c r="K264">
        <f>YEAR(FinanceData[[#This Row],[Date]])</f>
        <v>2025</v>
      </c>
    </row>
    <row r="265" spans="1:11">
      <c r="A265" s="1">
        <v>45873</v>
      </c>
      <c r="B265" t="s">
        <v>40</v>
      </c>
      <c r="D265" t="s">
        <v>16</v>
      </c>
      <c r="E265" t="s">
        <v>16</v>
      </c>
      <c r="F265" t="s">
        <v>14</v>
      </c>
      <c r="G265">
        <v>2556</v>
      </c>
      <c r="H265" t="s">
        <v>12</v>
      </c>
      <c r="I265" t="str">
        <f>TEXT(FinanceData[[#This Row],[Date]],"dddd")</f>
        <v>Monday</v>
      </c>
      <c r="J265" t="str">
        <f>IF(OR(FinanceData[[#This Row],[Day]]="Saturday",FinanceData[[#This Row],[Day]]="Sunday"),"Weekend","Weekday")</f>
        <v>Weekday</v>
      </c>
      <c r="K265">
        <f>YEAR(FinanceData[[#This Row],[Date]])</f>
        <v>2025</v>
      </c>
    </row>
    <row r="266" spans="1:11">
      <c r="A266" s="1">
        <v>45874</v>
      </c>
      <c r="B266" t="s">
        <v>40</v>
      </c>
      <c r="D266" t="s">
        <v>21</v>
      </c>
      <c r="E266" t="s">
        <v>21</v>
      </c>
      <c r="F266" t="s">
        <v>14</v>
      </c>
      <c r="G266">
        <v>6964</v>
      </c>
      <c r="H266" t="s">
        <v>15</v>
      </c>
      <c r="I266" t="str">
        <f>TEXT(FinanceData[[#This Row],[Date]],"dddd")</f>
        <v>Tuesday</v>
      </c>
      <c r="J266" t="str">
        <f>IF(OR(FinanceData[[#This Row],[Day]]="Saturday",FinanceData[[#This Row],[Day]]="Sunday"),"Weekend","Weekday")</f>
        <v>Weekday</v>
      </c>
      <c r="K266">
        <f>YEAR(FinanceData[[#This Row],[Date]])</f>
        <v>2025</v>
      </c>
    </row>
    <row r="267" spans="1:11">
      <c r="A267" s="1">
        <v>45875</v>
      </c>
      <c r="B267" t="s">
        <v>40</v>
      </c>
      <c r="D267" t="s">
        <v>22</v>
      </c>
      <c r="E267" t="s">
        <v>22</v>
      </c>
      <c r="F267" t="s">
        <v>14</v>
      </c>
      <c r="G267">
        <v>59241</v>
      </c>
      <c r="H267" t="s">
        <v>12</v>
      </c>
      <c r="I267" t="str">
        <f>TEXT(FinanceData[[#This Row],[Date]],"dddd")</f>
        <v>Wednesday</v>
      </c>
      <c r="J267" t="str">
        <f>IF(OR(FinanceData[[#This Row],[Day]]="Saturday",FinanceData[[#This Row],[Day]]="Sunday"),"Weekend","Weekday")</f>
        <v>Weekday</v>
      </c>
      <c r="K267">
        <f>YEAR(FinanceData[[#This Row],[Date]])</f>
        <v>2025</v>
      </c>
    </row>
    <row r="268" spans="1:11">
      <c r="A268" s="1">
        <v>45876</v>
      </c>
      <c r="B268" t="s">
        <v>40</v>
      </c>
      <c r="D268" t="s">
        <v>22</v>
      </c>
      <c r="E268" t="s">
        <v>22</v>
      </c>
      <c r="F268" t="s">
        <v>14</v>
      </c>
      <c r="G268">
        <v>67630</v>
      </c>
      <c r="H268" t="s">
        <v>19</v>
      </c>
      <c r="I268" t="str">
        <f>TEXT(FinanceData[[#This Row],[Date]],"dddd")</f>
        <v>Thursday</v>
      </c>
      <c r="J268" t="str">
        <f>IF(OR(FinanceData[[#This Row],[Day]]="Saturday",FinanceData[[#This Row],[Day]]="Sunday"),"Weekend","Weekday")</f>
        <v>Weekday</v>
      </c>
      <c r="K268">
        <f>YEAR(FinanceData[[#This Row],[Date]])</f>
        <v>2025</v>
      </c>
    </row>
    <row r="269" spans="1:11">
      <c r="A269" s="1">
        <v>45877</v>
      </c>
      <c r="B269" t="s">
        <v>40</v>
      </c>
      <c r="D269" t="s">
        <v>26</v>
      </c>
      <c r="E269" t="s">
        <v>26</v>
      </c>
      <c r="F269" t="s">
        <v>14</v>
      </c>
      <c r="G269">
        <v>16754</v>
      </c>
      <c r="H269" t="s">
        <v>19</v>
      </c>
      <c r="I269" t="str">
        <f>TEXT(FinanceData[[#This Row],[Date]],"dddd")</f>
        <v>Friday</v>
      </c>
      <c r="J269" t="str">
        <f>IF(OR(FinanceData[[#This Row],[Day]]="Saturday",FinanceData[[#This Row],[Day]]="Sunday"),"Weekend","Weekday")</f>
        <v>Weekday</v>
      </c>
      <c r="K269">
        <f>YEAR(FinanceData[[#This Row],[Date]])</f>
        <v>2025</v>
      </c>
    </row>
    <row r="270" spans="1:11">
      <c r="A270" s="1">
        <v>45878</v>
      </c>
      <c r="B270" t="s">
        <v>40</v>
      </c>
      <c r="D270" t="s">
        <v>30</v>
      </c>
      <c r="E270" t="s">
        <v>30</v>
      </c>
      <c r="F270" t="s">
        <v>14</v>
      </c>
      <c r="G270">
        <v>4707</v>
      </c>
      <c r="H270" t="s">
        <v>19</v>
      </c>
      <c r="I270" t="str">
        <f>TEXT(FinanceData[[#This Row],[Date]],"dddd")</f>
        <v>Saturday</v>
      </c>
      <c r="J270" t="str">
        <f>IF(OR(FinanceData[[#This Row],[Day]]="Saturday",FinanceData[[#This Row],[Day]]="Sunday"),"Weekend","Weekday")</f>
        <v>Weekend</v>
      </c>
      <c r="K270">
        <f>YEAR(FinanceData[[#This Row],[Date]])</f>
        <v>2025</v>
      </c>
    </row>
    <row r="271" spans="1:11">
      <c r="A271" s="1">
        <v>45879</v>
      </c>
      <c r="B271" t="s">
        <v>40</v>
      </c>
      <c r="D271" t="s">
        <v>13</v>
      </c>
      <c r="E271" t="s">
        <v>13</v>
      </c>
      <c r="F271" t="s">
        <v>14</v>
      </c>
      <c r="G271">
        <v>7896</v>
      </c>
      <c r="H271" t="s">
        <v>19</v>
      </c>
      <c r="I271" t="str">
        <f>TEXT(FinanceData[[#This Row],[Date]],"dddd")</f>
        <v>Sunday</v>
      </c>
      <c r="J271" t="str">
        <f>IF(OR(FinanceData[[#This Row],[Day]]="Saturday",FinanceData[[#This Row],[Day]]="Sunday"),"Weekend","Weekday")</f>
        <v>Weekend</v>
      </c>
      <c r="K271">
        <f>YEAR(FinanceData[[#This Row],[Date]])</f>
        <v>2025</v>
      </c>
    </row>
    <row r="272" spans="1:11">
      <c r="A272" s="1">
        <v>45880</v>
      </c>
      <c r="B272" t="s">
        <v>40</v>
      </c>
      <c r="D272" t="s">
        <v>30</v>
      </c>
      <c r="E272" t="s">
        <v>30</v>
      </c>
      <c r="F272" t="s">
        <v>14</v>
      </c>
      <c r="G272">
        <v>4251</v>
      </c>
      <c r="H272" t="s">
        <v>19</v>
      </c>
      <c r="I272" t="str">
        <f>TEXT(FinanceData[[#This Row],[Date]],"dddd")</f>
        <v>Monday</v>
      </c>
      <c r="J272" t="str">
        <f>IF(OR(FinanceData[[#This Row],[Day]]="Saturday",FinanceData[[#This Row],[Day]]="Sunday"),"Weekend","Weekday")</f>
        <v>Weekday</v>
      </c>
      <c r="K272">
        <f>YEAR(FinanceData[[#This Row],[Date]])</f>
        <v>2025</v>
      </c>
    </row>
    <row r="273" spans="1:11">
      <c r="A273" s="1">
        <v>45881</v>
      </c>
      <c r="B273" t="s">
        <v>40</v>
      </c>
      <c r="D273" t="s">
        <v>13</v>
      </c>
      <c r="E273" t="s">
        <v>13</v>
      </c>
      <c r="F273" t="s">
        <v>14</v>
      </c>
      <c r="G273">
        <v>3964</v>
      </c>
      <c r="H273" t="s">
        <v>15</v>
      </c>
      <c r="I273" t="str">
        <f>TEXT(FinanceData[[#This Row],[Date]],"dddd")</f>
        <v>Tuesday</v>
      </c>
      <c r="J273" t="str">
        <f>IF(OR(FinanceData[[#This Row],[Day]]="Saturday",FinanceData[[#This Row],[Day]]="Sunday"),"Weekend","Weekday")</f>
        <v>Weekday</v>
      </c>
      <c r="K273">
        <f>YEAR(FinanceData[[#This Row],[Date]])</f>
        <v>2025</v>
      </c>
    </row>
    <row r="274" spans="1:11">
      <c r="A274" s="1">
        <v>45882</v>
      </c>
      <c r="B274" t="s">
        <v>40</v>
      </c>
      <c r="D274" t="s">
        <v>16</v>
      </c>
      <c r="E274" t="s">
        <v>16</v>
      </c>
      <c r="F274" t="s">
        <v>14</v>
      </c>
      <c r="G274">
        <v>2223</v>
      </c>
      <c r="H274" t="s">
        <v>12</v>
      </c>
      <c r="I274" t="str">
        <f>TEXT(FinanceData[[#This Row],[Date]],"dddd")</f>
        <v>Wednesday</v>
      </c>
      <c r="J274" t="str">
        <f>IF(OR(FinanceData[[#This Row],[Day]]="Saturday",FinanceData[[#This Row],[Day]]="Sunday"),"Weekend","Weekday")</f>
        <v>Weekday</v>
      </c>
      <c r="K274">
        <f>YEAR(FinanceData[[#This Row],[Date]])</f>
        <v>2025</v>
      </c>
    </row>
    <row r="275" spans="1:11">
      <c r="A275" s="1">
        <v>45883</v>
      </c>
      <c r="B275" t="s">
        <v>40</v>
      </c>
      <c r="D275" t="s">
        <v>27</v>
      </c>
      <c r="E275" t="s">
        <v>27</v>
      </c>
      <c r="F275" t="s">
        <v>14</v>
      </c>
      <c r="G275">
        <v>13855</v>
      </c>
      <c r="H275" t="s">
        <v>24</v>
      </c>
      <c r="I275" t="str">
        <f>TEXT(FinanceData[[#This Row],[Date]],"dddd")</f>
        <v>Thursday</v>
      </c>
      <c r="J275" t="str">
        <f>IF(OR(FinanceData[[#This Row],[Day]]="Saturday",FinanceData[[#This Row],[Day]]="Sunday"),"Weekend","Weekday")</f>
        <v>Weekday</v>
      </c>
      <c r="K275">
        <f>YEAR(FinanceData[[#This Row],[Date]])</f>
        <v>2025</v>
      </c>
    </row>
    <row r="276" spans="1:11">
      <c r="A276" s="1">
        <v>45884</v>
      </c>
      <c r="B276" t="s">
        <v>40</v>
      </c>
      <c r="D276" t="s">
        <v>16</v>
      </c>
      <c r="E276" t="s">
        <v>16</v>
      </c>
      <c r="F276" t="s">
        <v>14</v>
      </c>
      <c r="G276">
        <v>3213</v>
      </c>
      <c r="H276" t="s">
        <v>24</v>
      </c>
      <c r="I276" t="str">
        <f>TEXT(FinanceData[[#This Row],[Date]],"dddd")</f>
        <v>Friday</v>
      </c>
      <c r="J276" t="str">
        <f>IF(OR(FinanceData[[#This Row],[Day]]="Saturday",FinanceData[[#This Row],[Day]]="Sunday"),"Weekend","Weekday")</f>
        <v>Weekday</v>
      </c>
      <c r="K276">
        <f>YEAR(FinanceData[[#This Row],[Date]])</f>
        <v>2025</v>
      </c>
    </row>
    <row r="277" spans="1:11">
      <c r="A277" s="1">
        <v>45885</v>
      </c>
      <c r="B277" t="s">
        <v>40</v>
      </c>
      <c r="D277" t="s">
        <v>16</v>
      </c>
      <c r="E277" t="s">
        <v>16</v>
      </c>
      <c r="F277" t="s">
        <v>14</v>
      </c>
      <c r="G277">
        <v>1347</v>
      </c>
      <c r="H277" t="s">
        <v>19</v>
      </c>
      <c r="I277" t="str">
        <f>TEXT(FinanceData[[#This Row],[Date]],"dddd")</f>
        <v>Saturday</v>
      </c>
      <c r="J277" t="str">
        <f>IF(OR(FinanceData[[#This Row],[Day]]="Saturday",FinanceData[[#This Row],[Day]]="Sunday"),"Weekend","Weekday")</f>
        <v>Weekend</v>
      </c>
      <c r="K277">
        <f>YEAR(FinanceData[[#This Row],[Date]])</f>
        <v>2025</v>
      </c>
    </row>
    <row r="278" spans="1:11">
      <c r="A278" s="1">
        <v>45886</v>
      </c>
      <c r="B278" t="s">
        <v>40</v>
      </c>
      <c r="D278" t="s">
        <v>26</v>
      </c>
      <c r="E278" t="s">
        <v>26</v>
      </c>
      <c r="F278" t="s">
        <v>14</v>
      </c>
      <c r="G278">
        <v>18609</v>
      </c>
      <c r="H278" t="s">
        <v>15</v>
      </c>
      <c r="I278" t="str">
        <f>TEXT(FinanceData[[#This Row],[Date]],"dddd")</f>
        <v>Sunday</v>
      </c>
      <c r="J278" t="str">
        <f>IF(OR(FinanceData[[#This Row],[Day]]="Saturday",FinanceData[[#This Row],[Day]]="Sunday"),"Weekend","Weekday")</f>
        <v>Weekend</v>
      </c>
      <c r="K278">
        <f>YEAR(FinanceData[[#This Row],[Date]])</f>
        <v>2025</v>
      </c>
    </row>
    <row r="279" spans="1:11">
      <c r="A279" s="1">
        <v>45887</v>
      </c>
      <c r="B279" t="s">
        <v>40</v>
      </c>
      <c r="D279" t="s">
        <v>17</v>
      </c>
      <c r="E279" t="s">
        <v>17</v>
      </c>
      <c r="F279" t="s">
        <v>14</v>
      </c>
      <c r="G279">
        <v>9460</v>
      </c>
      <c r="H279" t="s">
        <v>12</v>
      </c>
      <c r="I279" t="str">
        <f>TEXT(FinanceData[[#This Row],[Date]],"dddd")</f>
        <v>Monday</v>
      </c>
      <c r="J279" t="str">
        <f>IF(OR(FinanceData[[#This Row],[Day]]="Saturday",FinanceData[[#This Row],[Day]]="Sunday"),"Weekend","Weekday")</f>
        <v>Weekday</v>
      </c>
      <c r="K279">
        <f>YEAR(FinanceData[[#This Row],[Date]])</f>
        <v>2025</v>
      </c>
    </row>
    <row r="280" spans="1:11">
      <c r="A280" s="1">
        <v>45888</v>
      </c>
      <c r="B280" t="s">
        <v>40</v>
      </c>
      <c r="D280" t="s">
        <v>21</v>
      </c>
      <c r="E280" t="s">
        <v>21</v>
      </c>
      <c r="F280" t="s">
        <v>14</v>
      </c>
      <c r="G280">
        <v>6635</v>
      </c>
      <c r="H280" t="s">
        <v>24</v>
      </c>
      <c r="I280" t="str">
        <f>TEXT(FinanceData[[#This Row],[Date]],"dddd")</f>
        <v>Tuesday</v>
      </c>
      <c r="J280" t="str">
        <f>IF(OR(FinanceData[[#This Row],[Day]]="Saturday",FinanceData[[#This Row],[Day]]="Sunday"),"Weekend","Weekday")</f>
        <v>Weekday</v>
      </c>
      <c r="K280">
        <f>YEAR(FinanceData[[#This Row],[Date]])</f>
        <v>2025</v>
      </c>
    </row>
    <row r="281" spans="1:11">
      <c r="A281" s="1">
        <v>45889</v>
      </c>
      <c r="B281" t="s">
        <v>40</v>
      </c>
      <c r="C281" t="s">
        <v>23</v>
      </c>
      <c r="E281" t="s">
        <v>23</v>
      </c>
      <c r="F281" t="s">
        <v>11</v>
      </c>
      <c r="G281">
        <v>162241</v>
      </c>
      <c r="H281" t="s">
        <v>12</v>
      </c>
      <c r="I281" t="str">
        <f>TEXT(FinanceData[[#This Row],[Date]],"dddd")</f>
        <v>Wednesday</v>
      </c>
      <c r="J281" t="str">
        <f>IF(OR(FinanceData[[#This Row],[Day]]="Saturday",FinanceData[[#This Row],[Day]]="Sunday"),"Weekend","Weekday")</f>
        <v>Weekday</v>
      </c>
      <c r="K281">
        <f>YEAR(FinanceData[[#This Row],[Date]])</f>
        <v>2025</v>
      </c>
    </row>
    <row r="282" spans="1:11">
      <c r="A282" s="1">
        <v>45889</v>
      </c>
      <c r="B282" t="s">
        <v>40</v>
      </c>
      <c r="D282" t="s">
        <v>17</v>
      </c>
      <c r="E282" t="s">
        <v>17</v>
      </c>
      <c r="F282" t="s">
        <v>14</v>
      </c>
      <c r="G282">
        <v>7312</v>
      </c>
      <c r="H282" t="s">
        <v>24</v>
      </c>
      <c r="I282" t="str">
        <f>TEXT(FinanceData[[#This Row],[Date]],"dddd")</f>
        <v>Wednesday</v>
      </c>
      <c r="J282" t="str">
        <f>IF(OR(FinanceData[[#This Row],[Day]]="Saturday",FinanceData[[#This Row],[Day]]="Sunday"),"Weekend","Weekday")</f>
        <v>Weekday</v>
      </c>
      <c r="K282">
        <f>YEAR(FinanceData[[#This Row],[Date]])</f>
        <v>2025</v>
      </c>
    </row>
    <row r="283" spans="1:11">
      <c r="A283" s="1">
        <v>45890</v>
      </c>
      <c r="B283" t="s">
        <v>40</v>
      </c>
      <c r="C283" t="s">
        <v>31</v>
      </c>
      <c r="E283" t="s">
        <v>31</v>
      </c>
      <c r="F283" t="s">
        <v>11</v>
      </c>
      <c r="G283">
        <v>120054</v>
      </c>
      <c r="H283" t="s">
        <v>12</v>
      </c>
      <c r="I283" t="str">
        <f>TEXT(FinanceData[[#This Row],[Date]],"dddd")</f>
        <v>Thursday</v>
      </c>
      <c r="J283" t="str">
        <f>IF(OR(FinanceData[[#This Row],[Day]]="Saturday",FinanceData[[#This Row],[Day]]="Sunday"),"Weekend","Weekday")</f>
        <v>Weekday</v>
      </c>
      <c r="K283">
        <f>YEAR(FinanceData[[#This Row],[Date]])</f>
        <v>2025</v>
      </c>
    </row>
    <row r="284" spans="1:11">
      <c r="A284" s="1">
        <v>45890</v>
      </c>
      <c r="B284" t="s">
        <v>40</v>
      </c>
      <c r="D284" t="s">
        <v>17</v>
      </c>
      <c r="E284" t="s">
        <v>17</v>
      </c>
      <c r="F284" t="s">
        <v>14</v>
      </c>
      <c r="G284">
        <v>9072</v>
      </c>
      <c r="H284" t="s">
        <v>15</v>
      </c>
      <c r="I284" t="str">
        <f>TEXT(FinanceData[[#This Row],[Date]],"dddd")</f>
        <v>Thursday</v>
      </c>
      <c r="J284" t="str">
        <f>IF(OR(FinanceData[[#This Row],[Day]]="Saturday",FinanceData[[#This Row],[Day]]="Sunday"),"Weekend","Weekday")</f>
        <v>Weekday</v>
      </c>
      <c r="K284">
        <f>YEAR(FinanceData[[#This Row],[Date]])</f>
        <v>2025</v>
      </c>
    </row>
    <row r="285" spans="1:11">
      <c r="A285" s="1">
        <v>45891</v>
      </c>
      <c r="B285" t="s">
        <v>40</v>
      </c>
      <c r="D285" t="s">
        <v>27</v>
      </c>
      <c r="E285" t="s">
        <v>27</v>
      </c>
      <c r="F285" t="s">
        <v>14</v>
      </c>
      <c r="G285">
        <v>15937</v>
      </c>
      <c r="H285" t="s">
        <v>12</v>
      </c>
      <c r="I285" t="str">
        <f>TEXT(FinanceData[[#This Row],[Date]],"dddd")</f>
        <v>Friday</v>
      </c>
      <c r="J285" t="str">
        <f>IF(OR(FinanceData[[#This Row],[Day]]="Saturday",FinanceData[[#This Row],[Day]]="Sunday"),"Weekend","Weekday")</f>
        <v>Weekday</v>
      </c>
      <c r="K285">
        <f>YEAR(FinanceData[[#This Row],[Date]])</f>
        <v>2025</v>
      </c>
    </row>
    <row r="286" spans="1:11">
      <c r="A286" s="1">
        <v>45892</v>
      </c>
      <c r="B286" t="s">
        <v>40</v>
      </c>
      <c r="D286" t="s">
        <v>25</v>
      </c>
      <c r="E286" t="s">
        <v>25</v>
      </c>
      <c r="F286" t="s">
        <v>14</v>
      </c>
      <c r="G286">
        <v>5982</v>
      </c>
      <c r="H286" t="s">
        <v>12</v>
      </c>
      <c r="I286" t="str">
        <f>TEXT(FinanceData[[#This Row],[Date]],"dddd")</f>
        <v>Saturday</v>
      </c>
      <c r="J286" t="str">
        <f>IF(OR(FinanceData[[#This Row],[Day]]="Saturday",FinanceData[[#This Row],[Day]]="Sunday"),"Weekend","Weekday")</f>
        <v>Weekend</v>
      </c>
      <c r="K286">
        <f>YEAR(FinanceData[[#This Row],[Date]])</f>
        <v>2025</v>
      </c>
    </row>
    <row r="287" spans="1:11">
      <c r="A287" s="1">
        <v>45893</v>
      </c>
      <c r="B287" t="s">
        <v>40</v>
      </c>
      <c r="C287" t="s">
        <v>23</v>
      </c>
      <c r="E287" t="s">
        <v>23</v>
      </c>
      <c r="F287" t="s">
        <v>11</v>
      </c>
      <c r="G287">
        <v>97696</v>
      </c>
      <c r="H287" t="s">
        <v>12</v>
      </c>
      <c r="I287" t="str">
        <f>TEXT(FinanceData[[#This Row],[Date]],"dddd")</f>
        <v>Sunday</v>
      </c>
      <c r="J287" t="str">
        <f>IF(OR(FinanceData[[#This Row],[Day]]="Saturday",FinanceData[[#This Row],[Day]]="Sunday"),"Weekend","Weekday")</f>
        <v>Weekend</v>
      </c>
      <c r="K287">
        <f>YEAR(FinanceData[[#This Row],[Date]])</f>
        <v>2025</v>
      </c>
    </row>
    <row r="288" spans="1:11">
      <c r="A288" s="1">
        <v>45893</v>
      </c>
      <c r="B288" t="s">
        <v>40</v>
      </c>
      <c r="D288" t="s">
        <v>34</v>
      </c>
      <c r="E288" t="s">
        <v>34</v>
      </c>
      <c r="F288" t="s">
        <v>14</v>
      </c>
      <c r="G288">
        <v>14803</v>
      </c>
      <c r="H288" t="s">
        <v>19</v>
      </c>
      <c r="I288" t="str">
        <f>TEXT(FinanceData[[#This Row],[Date]],"dddd")</f>
        <v>Sunday</v>
      </c>
      <c r="J288" t="str">
        <f>IF(OR(FinanceData[[#This Row],[Day]]="Saturday",FinanceData[[#This Row],[Day]]="Sunday"),"Weekend","Weekday")</f>
        <v>Weekend</v>
      </c>
      <c r="K288">
        <f>YEAR(FinanceData[[#This Row],[Date]])</f>
        <v>2025</v>
      </c>
    </row>
    <row r="289" spans="1:11">
      <c r="A289" s="1">
        <v>45894</v>
      </c>
      <c r="B289" t="s">
        <v>40</v>
      </c>
      <c r="D289" t="s">
        <v>34</v>
      </c>
      <c r="E289" t="s">
        <v>34</v>
      </c>
      <c r="F289" t="s">
        <v>14</v>
      </c>
      <c r="G289">
        <v>21762</v>
      </c>
      <c r="H289" t="s">
        <v>24</v>
      </c>
      <c r="I289" t="str">
        <f>TEXT(FinanceData[[#This Row],[Date]],"dddd")</f>
        <v>Monday</v>
      </c>
      <c r="J289" t="str">
        <f>IF(OR(FinanceData[[#This Row],[Day]]="Saturday",FinanceData[[#This Row],[Day]]="Sunday"),"Weekend","Weekday")</f>
        <v>Weekday</v>
      </c>
      <c r="K289">
        <f>YEAR(FinanceData[[#This Row],[Date]])</f>
        <v>2025</v>
      </c>
    </row>
    <row r="290" spans="1:11">
      <c r="A290" s="1">
        <v>45895</v>
      </c>
      <c r="B290" t="s">
        <v>40</v>
      </c>
      <c r="D290" t="s">
        <v>30</v>
      </c>
      <c r="E290" t="s">
        <v>30</v>
      </c>
      <c r="F290" t="s">
        <v>14</v>
      </c>
      <c r="G290">
        <v>2226</v>
      </c>
      <c r="H290" t="s">
        <v>19</v>
      </c>
      <c r="I290" t="str">
        <f>TEXT(FinanceData[[#This Row],[Date]],"dddd")</f>
        <v>Tuesday</v>
      </c>
      <c r="J290" t="str">
        <f>IF(OR(FinanceData[[#This Row],[Day]]="Saturday",FinanceData[[#This Row],[Day]]="Sunday"),"Weekend","Weekday")</f>
        <v>Weekday</v>
      </c>
      <c r="K290">
        <f>YEAR(FinanceData[[#This Row],[Date]])</f>
        <v>2025</v>
      </c>
    </row>
    <row r="291" spans="1:11">
      <c r="A291" s="1">
        <v>45896</v>
      </c>
      <c r="B291" t="s">
        <v>40</v>
      </c>
      <c r="D291" t="s">
        <v>22</v>
      </c>
      <c r="E291" t="s">
        <v>22</v>
      </c>
      <c r="F291" t="s">
        <v>14</v>
      </c>
      <c r="G291">
        <v>76851</v>
      </c>
      <c r="H291" t="s">
        <v>15</v>
      </c>
      <c r="I291" t="str">
        <f>TEXT(FinanceData[[#This Row],[Date]],"dddd")</f>
        <v>Wednesday</v>
      </c>
      <c r="J291" t="str">
        <f>IF(OR(FinanceData[[#This Row],[Day]]="Saturday",FinanceData[[#This Row],[Day]]="Sunday"),"Weekend","Weekday")</f>
        <v>Weekday</v>
      </c>
      <c r="K291">
        <f>YEAR(FinanceData[[#This Row],[Date]])</f>
        <v>2025</v>
      </c>
    </row>
    <row r="292" spans="1:11">
      <c r="A292" s="1">
        <v>45897</v>
      </c>
      <c r="B292" t="s">
        <v>40</v>
      </c>
      <c r="D292" t="s">
        <v>18</v>
      </c>
      <c r="E292" t="s">
        <v>18</v>
      </c>
      <c r="F292" t="s">
        <v>14</v>
      </c>
      <c r="G292">
        <v>3349</v>
      </c>
      <c r="H292" t="s">
        <v>15</v>
      </c>
      <c r="I292" t="str">
        <f>TEXT(FinanceData[[#This Row],[Date]],"dddd")</f>
        <v>Thursday</v>
      </c>
      <c r="J292" t="str">
        <f>IF(OR(FinanceData[[#This Row],[Day]]="Saturday",FinanceData[[#This Row],[Day]]="Sunday"),"Weekend","Weekday")</f>
        <v>Weekday</v>
      </c>
      <c r="K292">
        <f>YEAR(FinanceData[[#This Row],[Date]])</f>
        <v>2025</v>
      </c>
    </row>
    <row r="293" spans="1:11">
      <c r="A293" s="1">
        <v>45898</v>
      </c>
      <c r="B293" t="s">
        <v>40</v>
      </c>
      <c r="D293" t="s">
        <v>26</v>
      </c>
      <c r="E293" t="s">
        <v>26</v>
      </c>
      <c r="F293" t="s">
        <v>14</v>
      </c>
      <c r="G293">
        <v>6362</v>
      </c>
      <c r="H293" t="s">
        <v>24</v>
      </c>
      <c r="I293" t="str">
        <f>TEXT(FinanceData[[#This Row],[Date]],"dddd")</f>
        <v>Friday</v>
      </c>
      <c r="J293" t="str">
        <f>IF(OR(FinanceData[[#This Row],[Day]]="Saturday",FinanceData[[#This Row],[Day]]="Sunday"),"Weekend","Weekday")</f>
        <v>Weekday</v>
      </c>
      <c r="K293">
        <f>YEAR(FinanceData[[#This Row],[Date]])</f>
        <v>2025</v>
      </c>
    </row>
    <row r="294" spans="1:11">
      <c r="A294" s="1">
        <v>45899</v>
      </c>
      <c r="B294" t="s">
        <v>40</v>
      </c>
      <c r="D294" t="s">
        <v>34</v>
      </c>
      <c r="E294" t="s">
        <v>34</v>
      </c>
      <c r="F294" t="s">
        <v>14</v>
      </c>
      <c r="G294">
        <v>18618</v>
      </c>
      <c r="H294" t="s">
        <v>24</v>
      </c>
      <c r="I294" t="str">
        <f>TEXT(FinanceData[[#This Row],[Date]],"dddd")</f>
        <v>Saturday</v>
      </c>
      <c r="J294" t="str">
        <f>IF(OR(FinanceData[[#This Row],[Day]]="Saturday",FinanceData[[#This Row],[Day]]="Sunday"),"Weekend","Weekday")</f>
        <v>Weekend</v>
      </c>
      <c r="K294">
        <f>YEAR(FinanceData[[#This Row],[Date]])</f>
        <v>2025</v>
      </c>
    </row>
    <row r="295" spans="1:11">
      <c r="A295" s="1">
        <v>45900</v>
      </c>
      <c r="B295" t="s">
        <v>40</v>
      </c>
      <c r="D295" t="s">
        <v>32</v>
      </c>
      <c r="E295" t="s">
        <v>32</v>
      </c>
      <c r="F295" t="s">
        <v>14</v>
      </c>
      <c r="G295">
        <v>3412</v>
      </c>
      <c r="H295" t="s">
        <v>19</v>
      </c>
      <c r="I295" t="str">
        <f>TEXT(FinanceData[[#This Row],[Date]],"dddd")</f>
        <v>Sunday</v>
      </c>
      <c r="J295" t="str">
        <f>IF(OR(FinanceData[[#This Row],[Day]]="Saturday",FinanceData[[#This Row],[Day]]="Sunday"),"Weekend","Weekday")</f>
        <v>Weekend</v>
      </c>
      <c r="K295">
        <f>YEAR(FinanceData[[#This Row],[Date]])</f>
        <v>2025</v>
      </c>
    </row>
    <row r="296" spans="1:11">
      <c r="A296" s="1">
        <v>45901</v>
      </c>
      <c r="B296" t="s">
        <v>41</v>
      </c>
      <c r="C296" t="s">
        <v>9</v>
      </c>
      <c r="E296" t="s">
        <v>10</v>
      </c>
      <c r="F296" t="s">
        <v>11</v>
      </c>
      <c r="G296">
        <v>450000</v>
      </c>
      <c r="H296" t="s">
        <v>12</v>
      </c>
      <c r="I296" t="str">
        <f>TEXT(FinanceData[[#This Row],[Date]],"dddd")</f>
        <v>Monday</v>
      </c>
      <c r="J296" t="str">
        <f>IF(OR(FinanceData[[#This Row],[Day]]="Saturday",FinanceData[[#This Row],[Day]]="Sunday"),"Weekend","Weekday")</f>
        <v>Weekday</v>
      </c>
      <c r="K296">
        <f>YEAR(FinanceData[[#This Row],[Date]])</f>
        <v>2025</v>
      </c>
    </row>
    <row r="297" spans="1:11">
      <c r="A297" s="1">
        <v>45901</v>
      </c>
      <c r="B297" t="s">
        <v>41</v>
      </c>
      <c r="D297" t="s">
        <v>27</v>
      </c>
      <c r="E297" t="s">
        <v>27</v>
      </c>
      <c r="F297" t="s">
        <v>14</v>
      </c>
      <c r="G297">
        <v>9747</v>
      </c>
      <c r="H297" t="s">
        <v>12</v>
      </c>
      <c r="I297" t="str">
        <f>TEXT(FinanceData[[#This Row],[Date]],"dddd")</f>
        <v>Monday</v>
      </c>
      <c r="J297" t="str">
        <f>IF(OR(FinanceData[[#This Row],[Day]]="Saturday",FinanceData[[#This Row],[Day]]="Sunday"),"Weekend","Weekday")</f>
        <v>Weekday</v>
      </c>
      <c r="K297">
        <f>YEAR(FinanceData[[#This Row],[Date]])</f>
        <v>2025</v>
      </c>
    </row>
    <row r="298" spans="1:11">
      <c r="A298" s="1">
        <v>45902</v>
      </c>
      <c r="B298" t="s">
        <v>41</v>
      </c>
      <c r="D298" t="s">
        <v>18</v>
      </c>
      <c r="E298" t="s">
        <v>18</v>
      </c>
      <c r="F298" t="s">
        <v>14</v>
      </c>
      <c r="G298">
        <v>2629</v>
      </c>
      <c r="H298" t="s">
        <v>12</v>
      </c>
      <c r="I298" t="str">
        <f>TEXT(FinanceData[[#This Row],[Date]],"dddd")</f>
        <v>Tuesday</v>
      </c>
      <c r="J298" t="str">
        <f>IF(OR(FinanceData[[#This Row],[Day]]="Saturday",FinanceData[[#This Row],[Day]]="Sunday"),"Weekend","Weekday")</f>
        <v>Weekday</v>
      </c>
      <c r="K298">
        <f>YEAR(FinanceData[[#This Row],[Date]])</f>
        <v>2025</v>
      </c>
    </row>
    <row r="299" spans="1:11">
      <c r="A299" s="1">
        <v>45903</v>
      </c>
      <c r="B299" t="s">
        <v>41</v>
      </c>
      <c r="D299" t="s">
        <v>17</v>
      </c>
      <c r="E299" t="s">
        <v>17</v>
      </c>
      <c r="F299" t="s">
        <v>14</v>
      </c>
      <c r="G299">
        <v>11918</v>
      </c>
      <c r="H299" t="s">
        <v>15</v>
      </c>
      <c r="I299" t="str">
        <f>TEXT(FinanceData[[#This Row],[Date]],"dddd")</f>
        <v>Wednesday</v>
      </c>
      <c r="J299" t="str">
        <f>IF(OR(FinanceData[[#This Row],[Day]]="Saturday",FinanceData[[#This Row],[Day]]="Sunday"),"Weekend","Weekday")</f>
        <v>Weekday</v>
      </c>
      <c r="K299">
        <f>YEAR(FinanceData[[#This Row],[Date]])</f>
        <v>2025</v>
      </c>
    </row>
    <row r="300" spans="1:11">
      <c r="A300" s="1">
        <v>45904</v>
      </c>
      <c r="B300" t="s">
        <v>41</v>
      </c>
      <c r="D300" t="s">
        <v>27</v>
      </c>
      <c r="E300" t="s">
        <v>27</v>
      </c>
      <c r="F300" t="s">
        <v>14</v>
      </c>
      <c r="G300">
        <v>15001</v>
      </c>
      <c r="H300" t="s">
        <v>19</v>
      </c>
      <c r="I300" t="str">
        <f>TEXT(FinanceData[[#This Row],[Date]],"dddd")</f>
        <v>Thursday</v>
      </c>
      <c r="J300" t="str">
        <f>IF(OR(FinanceData[[#This Row],[Day]]="Saturday",FinanceData[[#This Row],[Day]]="Sunday"),"Weekend","Weekday")</f>
        <v>Weekday</v>
      </c>
      <c r="K300">
        <f>YEAR(FinanceData[[#This Row],[Date]])</f>
        <v>2025</v>
      </c>
    </row>
    <row r="301" spans="1:11">
      <c r="A301" s="1">
        <v>45905</v>
      </c>
      <c r="B301" t="s">
        <v>41</v>
      </c>
      <c r="D301" t="s">
        <v>13</v>
      </c>
      <c r="E301" t="s">
        <v>13</v>
      </c>
      <c r="F301" t="s">
        <v>14</v>
      </c>
      <c r="G301">
        <v>3146</v>
      </c>
      <c r="H301" t="s">
        <v>12</v>
      </c>
      <c r="I301" t="str">
        <f>TEXT(FinanceData[[#This Row],[Date]],"dddd")</f>
        <v>Friday</v>
      </c>
      <c r="J301" t="str">
        <f>IF(OR(FinanceData[[#This Row],[Day]]="Saturday",FinanceData[[#This Row],[Day]]="Sunday"),"Weekend","Weekday")</f>
        <v>Weekday</v>
      </c>
      <c r="K301">
        <f>YEAR(FinanceData[[#This Row],[Date]])</f>
        <v>2025</v>
      </c>
    </row>
    <row r="302" spans="1:11">
      <c r="A302" s="1">
        <v>45906</v>
      </c>
      <c r="B302" t="s">
        <v>41</v>
      </c>
      <c r="D302" t="s">
        <v>29</v>
      </c>
      <c r="E302" t="s">
        <v>29</v>
      </c>
      <c r="F302" t="s">
        <v>14</v>
      </c>
      <c r="G302">
        <v>8001</v>
      </c>
      <c r="H302" t="s">
        <v>19</v>
      </c>
      <c r="I302" t="str">
        <f>TEXT(FinanceData[[#This Row],[Date]],"dddd")</f>
        <v>Saturday</v>
      </c>
      <c r="J302" t="str">
        <f>IF(OR(FinanceData[[#This Row],[Day]]="Saturday",FinanceData[[#This Row],[Day]]="Sunday"),"Weekend","Weekday")</f>
        <v>Weekend</v>
      </c>
      <c r="K302">
        <f>YEAR(FinanceData[[#This Row],[Date]])</f>
        <v>2025</v>
      </c>
    </row>
    <row r="303" spans="1:11">
      <c r="A303" s="1">
        <v>45907</v>
      </c>
      <c r="B303" t="s">
        <v>41</v>
      </c>
      <c r="D303" t="s">
        <v>27</v>
      </c>
      <c r="E303" t="s">
        <v>27</v>
      </c>
      <c r="F303" t="s">
        <v>14</v>
      </c>
      <c r="G303">
        <v>16039</v>
      </c>
      <c r="H303" t="s">
        <v>15</v>
      </c>
      <c r="I303" t="str">
        <f>TEXT(FinanceData[[#This Row],[Date]],"dddd")</f>
        <v>Sunday</v>
      </c>
      <c r="J303" t="str">
        <f>IF(OR(FinanceData[[#This Row],[Day]]="Saturday",FinanceData[[#This Row],[Day]]="Sunday"),"Weekend","Weekday")</f>
        <v>Weekend</v>
      </c>
      <c r="K303">
        <f>YEAR(FinanceData[[#This Row],[Date]])</f>
        <v>2025</v>
      </c>
    </row>
    <row r="304" spans="1:11">
      <c r="A304" s="1">
        <v>45908</v>
      </c>
      <c r="B304" t="s">
        <v>41</v>
      </c>
      <c r="D304" t="s">
        <v>22</v>
      </c>
      <c r="E304" t="s">
        <v>22</v>
      </c>
      <c r="F304" t="s">
        <v>14</v>
      </c>
      <c r="G304">
        <v>68292</v>
      </c>
      <c r="H304" t="s">
        <v>12</v>
      </c>
      <c r="I304" t="str">
        <f>TEXT(FinanceData[[#This Row],[Date]],"dddd")</f>
        <v>Monday</v>
      </c>
      <c r="J304" t="str">
        <f>IF(OR(FinanceData[[#This Row],[Day]]="Saturday",FinanceData[[#This Row],[Day]]="Sunday"),"Weekend","Weekday")</f>
        <v>Weekday</v>
      </c>
      <c r="K304">
        <f>YEAR(FinanceData[[#This Row],[Date]])</f>
        <v>2025</v>
      </c>
    </row>
    <row r="305" spans="1:11">
      <c r="A305" s="1">
        <v>45909</v>
      </c>
      <c r="B305" t="s">
        <v>41</v>
      </c>
      <c r="D305" t="s">
        <v>17</v>
      </c>
      <c r="E305" t="s">
        <v>17</v>
      </c>
      <c r="F305" t="s">
        <v>14</v>
      </c>
      <c r="G305">
        <v>7340</v>
      </c>
      <c r="H305" t="s">
        <v>24</v>
      </c>
      <c r="I305" t="str">
        <f>TEXT(FinanceData[[#This Row],[Date]],"dddd")</f>
        <v>Tuesday</v>
      </c>
      <c r="J305" t="str">
        <f>IF(OR(FinanceData[[#This Row],[Day]]="Saturday",FinanceData[[#This Row],[Day]]="Sunday"),"Weekend","Weekday")</f>
        <v>Weekday</v>
      </c>
      <c r="K305">
        <f>YEAR(FinanceData[[#This Row],[Date]])</f>
        <v>2025</v>
      </c>
    </row>
    <row r="306" spans="1:11">
      <c r="A306" s="1">
        <v>45910</v>
      </c>
      <c r="B306" t="s">
        <v>41</v>
      </c>
      <c r="D306" t="s">
        <v>22</v>
      </c>
      <c r="E306" t="s">
        <v>22</v>
      </c>
      <c r="F306" t="s">
        <v>14</v>
      </c>
      <c r="G306">
        <v>77053</v>
      </c>
      <c r="H306" t="s">
        <v>19</v>
      </c>
      <c r="I306" t="str">
        <f>TEXT(FinanceData[[#This Row],[Date]],"dddd")</f>
        <v>Wednesday</v>
      </c>
      <c r="J306" t="str">
        <f>IF(OR(FinanceData[[#This Row],[Day]]="Saturday",FinanceData[[#This Row],[Day]]="Sunday"),"Weekend","Weekday")</f>
        <v>Weekday</v>
      </c>
      <c r="K306">
        <f>YEAR(FinanceData[[#This Row],[Date]])</f>
        <v>2025</v>
      </c>
    </row>
    <row r="307" spans="1:11">
      <c r="A307" s="1">
        <v>45911</v>
      </c>
      <c r="B307" t="s">
        <v>41</v>
      </c>
      <c r="D307" t="s">
        <v>25</v>
      </c>
      <c r="E307" t="s">
        <v>25</v>
      </c>
      <c r="F307" t="s">
        <v>14</v>
      </c>
      <c r="G307">
        <v>5268</v>
      </c>
      <c r="H307" t="s">
        <v>24</v>
      </c>
      <c r="I307" t="str">
        <f>TEXT(FinanceData[[#This Row],[Date]],"dddd")</f>
        <v>Thursday</v>
      </c>
      <c r="J307" t="str">
        <f>IF(OR(FinanceData[[#This Row],[Day]]="Saturday",FinanceData[[#This Row],[Day]]="Sunday"),"Weekend","Weekday")</f>
        <v>Weekday</v>
      </c>
      <c r="K307">
        <f>YEAR(FinanceData[[#This Row],[Date]])</f>
        <v>2025</v>
      </c>
    </row>
    <row r="308" spans="1:11">
      <c r="A308" s="1">
        <v>45912</v>
      </c>
      <c r="B308" t="s">
        <v>41</v>
      </c>
      <c r="D308" t="s">
        <v>16</v>
      </c>
      <c r="E308" t="s">
        <v>16</v>
      </c>
      <c r="F308" t="s">
        <v>14</v>
      </c>
      <c r="G308">
        <v>3919</v>
      </c>
      <c r="H308" t="s">
        <v>15</v>
      </c>
      <c r="I308" t="str">
        <f>TEXT(FinanceData[[#This Row],[Date]],"dddd")</f>
        <v>Friday</v>
      </c>
      <c r="J308" t="str">
        <f>IF(OR(FinanceData[[#This Row],[Day]]="Saturday",FinanceData[[#This Row],[Day]]="Sunday"),"Weekend","Weekday")</f>
        <v>Weekday</v>
      </c>
      <c r="K308">
        <f>YEAR(FinanceData[[#This Row],[Date]])</f>
        <v>2025</v>
      </c>
    </row>
    <row r="309" spans="1:11">
      <c r="A309" s="1">
        <v>45913</v>
      </c>
      <c r="B309" t="s">
        <v>41</v>
      </c>
      <c r="D309" t="s">
        <v>25</v>
      </c>
      <c r="E309" t="s">
        <v>25</v>
      </c>
      <c r="F309" t="s">
        <v>14</v>
      </c>
      <c r="G309">
        <v>4584</v>
      </c>
      <c r="H309" t="s">
        <v>15</v>
      </c>
      <c r="I309" t="str">
        <f>TEXT(FinanceData[[#This Row],[Date]],"dddd")</f>
        <v>Saturday</v>
      </c>
      <c r="J309" t="str">
        <f>IF(OR(FinanceData[[#This Row],[Day]]="Saturday",FinanceData[[#This Row],[Day]]="Sunday"),"Weekend","Weekday")</f>
        <v>Weekend</v>
      </c>
      <c r="K309">
        <f>YEAR(FinanceData[[#This Row],[Date]])</f>
        <v>2025</v>
      </c>
    </row>
    <row r="310" spans="1:11">
      <c r="A310" s="1">
        <v>45914</v>
      </c>
      <c r="B310" t="s">
        <v>41</v>
      </c>
      <c r="D310" t="s">
        <v>22</v>
      </c>
      <c r="E310" t="s">
        <v>22</v>
      </c>
      <c r="F310" t="s">
        <v>14</v>
      </c>
      <c r="G310">
        <v>79092</v>
      </c>
      <c r="H310" t="s">
        <v>19</v>
      </c>
      <c r="I310" t="str">
        <f>TEXT(FinanceData[[#This Row],[Date]],"dddd")</f>
        <v>Sunday</v>
      </c>
      <c r="J310" t="str">
        <f>IF(OR(FinanceData[[#This Row],[Day]]="Saturday",FinanceData[[#This Row],[Day]]="Sunday"),"Weekend","Weekday")</f>
        <v>Weekend</v>
      </c>
      <c r="K310">
        <f>YEAR(FinanceData[[#This Row],[Date]])</f>
        <v>2025</v>
      </c>
    </row>
    <row r="311" spans="1:11">
      <c r="A311" s="1">
        <v>45915</v>
      </c>
      <c r="B311" t="s">
        <v>41</v>
      </c>
      <c r="D311" t="s">
        <v>22</v>
      </c>
      <c r="E311" t="s">
        <v>22</v>
      </c>
      <c r="F311" t="s">
        <v>14</v>
      </c>
      <c r="G311">
        <v>66780</v>
      </c>
      <c r="H311" t="s">
        <v>19</v>
      </c>
      <c r="I311" t="str">
        <f>TEXT(FinanceData[[#This Row],[Date]],"dddd")</f>
        <v>Monday</v>
      </c>
      <c r="J311" t="str">
        <f>IF(OR(FinanceData[[#This Row],[Day]]="Saturday",FinanceData[[#This Row],[Day]]="Sunday"),"Weekend","Weekday")</f>
        <v>Weekday</v>
      </c>
      <c r="K311">
        <f>YEAR(FinanceData[[#This Row],[Date]])</f>
        <v>2025</v>
      </c>
    </row>
    <row r="312" spans="1:11">
      <c r="A312" s="1">
        <v>45916</v>
      </c>
      <c r="B312" t="s">
        <v>41</v>
      </c>
      <c r="D312" t="s">
        <v>25</v>
      </c>
      <c r="E312" t="s">
        <v>25</v>
      </c>
      <c r="F312" t="s">
        <v>14</v>
      </c>
      <c r="G312">
        <v>6948</v>
      </c>
      <c r="H312" t="s">
        <v>19</v>
      </c>
      <c r="I312" t="str">
        <f>TEXT(FinanceData[[#This Row],[Date]],"dddd")</f>
        <v>Tuesday</v>
      </c>
      <c r="J312" t="str">
        <f>IF(OR(FinanceData[[#This Row],[Day]]="Saturday",FinanceData[[#This Row],[Day]]="Sunday"),"Weekend","Weekday")</f>
        <v>Weekday</v>
      </c>
      <c r="K312">
        <f>YEAR(FinanceData[[#This Row],[Date]])</f>
        <v>2025</v>
      </c>
    </row>
    <row r="313" spans="1:11">
      <c r="A313" s="1">
        <v>45917</v>
      </c>
      <c r="B313" t="s">
        <v>41</v>
      </c>
      <c r="D313" t="s">
        <v>22</v>
      </c>
      <c r="E313" t="s">
        <v>22</v>
      </c>
      <c r="F313" t="s">
        <v>14</v>
      </c>
      <c r="G313">
        <v>74250</v>
      </c>
      <c r="H313" t="s">
        <v>19</v>
      </c>
      <c r="I313" t="str">
        <f>TEXT(FinanceData[[#This Row],[Date]],"dddd")</f>
        <v>Wednesday</v>
      </c>
      <c r="J313" t="str">
        <f>IF(OR(FinanceData[[#This Row],[Day]]="Saturday",FinanceData[[#This Row],[Day]]="Sunday"),"Weekend","Weekday")</f>
        <v>Weekday</v>
      </c>
      <c r="K313">
        <f>YEAR(FinanceData[[#This Row],[Date]])</f>
        <v>2025</v>
      </c>
    </row>
    <row r="314" spans="1:11">
      <c r="A314" s="1">
        <v>45918</v>
      </c>
      <c r="B314" t="s">
        <v>41</v>
      </c>
      <c r="D314" t="s">
        <v>26</v>
      </c>
      <c r="E314" t="s">
        <v>26</v>
      </c>
      <c r="F314" t="s">
        <v>14</v>
      </c>
      <c r="G314">
        <v>5942</v>
      </c>
      <c r="H314" t="s">
        <v>24</v>
      </c>
      <c r="I314" t="str">
        <f>TEXT(FinanceData[[#This Row],[Date]],"dddd")</f>
        <v>Thursday</v>
      </c>
      <c r="J314" t="str">
        <f>IF(OR(FinanceData[[#This Row],[Day]]="Saturday",FinanceData[[#This Row],[Day]]="Sunday"),"Weekend","Weekday")</f>
        <v>Weekday</v>
      </c>
      <c r="K314">
        <f>YEAR(FinanceData[[#This Row],[Date]])</f>
        <v>2025</v>
      </c>
    </row>
    <row r="315" spans="1:11">
      <c r="A315" s="1">
        <v>45919</v>
      </c>
      <c r="B315" t="s">
        <v>41</v>
      </c>
      <c r="C315" t="s">
        <v>31</v>
      </c>
      <c r="E315" t="s">
        <v>31</v>
      </c>
      <c r="F315" t="s">
        <v>11</v>
      </c>
      <c r="G315">
        <v>141415</v>
      </c>
      <c r="H315" t="s">
        <v>12</v>
      </c>
      <c r="I315" t="str">
        <f>TEXT(FinanceData[[#This Row],[Date]],"dddd")</f>
        <v>Friday</v>
      </c>
      <c r="J315" t="str">
        <f>IF(OR(FinanceData[[#This Row],[Day]]="Saturday",FinanceData[[#This Row],[Day]]="Sunday"),"Weekend","Weekday")</f>
        <v>Weekday</v>
      </c>
      <c r="K315">
        <f>YEAR(FinanceData[[#This Row],[Date]])</f>
        <v>2025</v>
      </c>
    </row>
    <row r="316" spans="1:11">
      <c r="A316" s="1">
        <v>45919</v>
      </c>
      <c r="B316" t="s">
        <v>41</v>
      </c>
      <c r="D316" t="s">
        <v>17</v>
      </c>
      <c r="E316" t="s">
        <v>17</v>
      </c>
      <c r="F316" t="s">
        <v>14</v>
      </c>
      <c r="G316">
        <v>4673</v>
      </c>
      <c r="H316" t="s">
        <v>12</v>
      </c>
      <c r="I316" t="str">
        <f>TEXT(FinanceData[[#This Row],[Date]],"dddd")</f>
        <v>Friday</v>
      </c>
      <c r="J316" t="str">
        <f>IF(OR(FinanceData[[#This Row],[Day]]="Saturday",FinanceData[[#This Row],[Day]]="Sunday"),"Weekend","Weekday")</f>
        <v>Weekday</v>
      </c>
      <c r="K316">
        <f>YEAR(FinanceData[[#This Row],[Date]])</f>
        <v>2025</v>
      </c>
    </row>
    <row r="317" spans="1:11">
      <c r="A317" s="1">
        <v>45920</v>
      </c>
      <c r="B317" t="s">
        <v>41</v>
      </c>
      <c r="C317" t="s">
        <v>31</v>
      </c>
      <c r="E317" t="s">
        <v>31</v>
      </c>
      <c r="F317" t="s">
        <v>11</v>
      </c>
      <c r="G317">
        <v>145656</v>
      </c>
      <c r="H317" t="s">
        <v>12</v>
      </c>
      <c r="I317" t="str">
        <f>TEXT(FinanceData[[#This Row],[Date]],"dddd")</f>
        <v>Saturday</v>
      </c>
      <c r="J317" t="str">
        <f>IF(OR(FinanceData[[#This Row],[Day]]="Saturday",FinanceData[[#This Row],[Day]]="Sunday"),"Weekend","Weekday")</f>
        <v>Weekend</v>
      </c>
      <c r="K317">
        <f>YEAR(FinanceData[[#This Row],[Date]])</f>
        <v>2025</v>
      </c>
    </row>
    <row r="318" spans="1:11">
      <c r="A318" s="1">
        <v>45920</v>
      </c>
      <c r="B318" t="s">
        <v>41</v>
      </c>
      <c r="D318" t="s">
        <v>22</v>
      </c>
      <c r="E318" t="s">
        <v>22</v>
      </c>
      <c r="F318" t="s">
        <v>14</v>
      </c>
      <c r="G318">
        <v>57310</v>
      </c>
      <c r="H318" t="s">
        <v>19</v>
      </c>
      <c r="I318" t="str">
        <f>TEXT(FinanceData[[#This Row],[Date]],"dddd")</f>
        <v>Saturday</v>
      </c>
      <c r="J318" t="str">
        <f>IF(OR(FinanceData[[#This Row],[Day]]="Saturday",FinanceData[[#This Row],[Day]]="Sunday"),"Weekend","Weekday")</f>
        <v>Weekend</v>
      </c>
      <c r="K318">
        <f>YEAR(FinanceData[[#This Row],[Date]])</f>
        <v>2025</v>
      </c>
    </row>
    <row r="319" spans="1:11">
      <c r="A319" s="1">
        <v>45921</v>
      </c>
      <c r="B319" t="s">
        <v>41</v>
      </c>
      <c r="D319" t="s">
        <v>17</v>
      </c>
      <c r="E319" t="s">
        <v>17</v>
      </c>
      <c r="F319" t="s">
        <v>14</v>
      </c>
      <c r="G319">
        <v>8583</v>
      </c>
      <c r="H319" t="s">
        <v>15</v>
      </c>
      <c r="I319" t="str">
        <f>TEXT(FinanceData[[#This Row],[Date]],"dddd")</f>
        <v>Sunday</v>
      </c>
      <c r="J319" t="str">
        <f>IF(OR(FinanceData[[#This Row],[Day]]="Saturday",FinanceData[[#This Row],[Day]]="Sunday"),"Weekend","Weekday")</f>
        <v>Weekend</v>
      </c>
      <c r="K319">
        <f>YEAR(FinanceData[[#This Row],[Date]])</f>
        <v>2025</v>
      </c>
    </row>
    <row r="320" spans="1:11">
      <c r="A320" s="1">
        <v>45922</v>
      </c>
      <c r="B320" t="s">
        <v>41</v>
      </c>
      <c r="C320" t="s">
        <v>23</v>
      </c>
      <c r="E320" t="s">
        <v>23</v>
      </c>
      <c r="F320" t="s">
        <v>11</v>
      </c>
      <c r="G320">
        <v>102698</v>
      </c>
      <c r="H320" t="s">
        <v>12</v>
      </c>
      <c r="I320" t="str">
        <f>TEXT(FinanceData[[#This Row],[Date]],"dddd")</f>
        <v>Monday</v>
      </c>
      <c r="J320" t="str">
        <f>IF(OR(FinanceData[[#This Row],[Day]]="Saturday",FinanceData[[#This Row],[Day]]="Sunday"),"Weekend","Weekday")</f>
        <v>Weekday</v>
      </c>
      <c r="K320">
        <f>YEAR(FinanceData[[#This Row],[Date]])</f>
        <v>2025</v>
      </c>
    </row>
    <row r="321" spans="1:11">
      <c r="A321" s="1">
        <v>45922</v>
      </c>
      <c r="B321" t="s">
        <v>41</v>
      </c>
      <c r="D321" t="s">
        <v>13</v>
      </c>
      <c r="E321" t="s">
        <v>13</v>
      </c>
      <c r="F321" t="s">
        <v>14</v>
      </c>
      <c r="G321">
        <v>7450</v>
      </c>
      <c r="H321" t="s">
        <v>19</v>
      </c>
      <c r="I321" t="str">
        <f>TEXT(FinanceData[[#This Row],[Date]],"dddd")</f>
        <v>Monday</v>
      </c>
      <c r="J321" t="str">
        <f>IF(OR(FinanceData[[#This Row],[Day]]="Saturday",FinanceData[[#This Row],[Day]]="Sunday"),"Weekend","Weekday")</f>
        <v>Weekday</v>
      </c>
      <c r="K321">
        <f>YEAR(FinanceData[[#This Row],[Date]])</f>
        <v>2025</v>
      </c>
    </row>
    <row r="322" spans="1:11">
      <c r="A322" s="1">
        <v>45923</v>
      </c>
      <c r="B322" t="s">
        <v>41</v>
      </c>
      <c r="D322" t="s">
        <v>30</v>
      </c>
      <c r="E322" t="s">
        <v>30</v>
      </c>
      <c r="F322" t="s">
        <v>14</v>
      </c>
      <c r="G322">
        <v>4073</v>
      </c>
      <c r="H322" t="s">
        <v>19</v>
      </c>
      <c r="I322" t="str">
        <f>TEXT(FinanceData[[#This Row],[Date]],"dddd")</f>
        <v>Tuesday</v>
      </c>
      <c r="J322" t="str">
        <f>IF(OR(FinanceData[[#This Row],[Day]]="Saturday",FinanceData[[#This Row],[Day]]="Sunday"),"Weekend","Weekday")</f>
        <v>Weekday</v>
      </c>
      <c r="K322">
        <f>YEAR(FinanceData[[#This Row],[Date]])</f>
        <v>2025</v>
      </c>
    </row>
    <row r="323" spans="1:11">
      <c r="A323" s="1">
        <v>45924</v>
      </c>
      <c r="B323" t="s">
        <v>41</v>
      </c>
      <c r="D323" t="s">
        <v>29</v>
      </c>
      <c r="E323" t="s">
        <v>29</v>
      </c>
      <c r="F323" t="s">
        <v>14</v>
      </c>
      <c r="G323">
        <v>6513</v>
      </c>
      <c r="H323" t="s">
        <v>15</v>
      </c>
      <c r="I323" t="str">
        <f>TEXT(FinanceData[[#This Row],[Date]],"dddd")</f>
        <v>Wednesday</v>
      </c>
      <c r="J323" t="str">
        <f>IF(OR(FinanceData[[#This Row],[Day]]="Saturday",FinanceData[[#This Row],[Day]]="Sunday"),"Weekend","Weekday")</f>
        <v>Weekday</v>
      </c>
      <c r="K323">
        <f>YEAR(FinanceData[[#This Row],[Date]])</f>
        <v>2025</v>
      </c>
    </row>
    <row r="324" spans="1:11">
      <c r="A324" s="1">
        <v>45925</v>
      </c>
      <c r="B324" t="s">
        <v>41</v>
      </c>
      <c r="D324" t="s">
        <v>21</v>
      </c>
      <c r="E324" t="s">
        <v>21</v>
      </c>
      <c r="F324" t="s">
        <v>14</v>
      </c>
      <c r="G324">
        <v>6733</v>
      </c>
      <c r="H324" t="s">
        <v>15</v>
      </c>
      <c r="I324" t="str">
        <f>TEXT(FinanceData[[#This Row],[Date]],"dddd")</f>
        <v>Thursday</v>
      </c>
      <c r="J324" t="str">
        <f>IF(OR(FinanceData[[#This Row],[Day]]="Saturday",FinanceData[[#This Row],[Day]]="Sunday"),"Weekend","Weekday")</f>
        <v>Weekday</v>
      </c>
      <c r="K324">
        <f>YEAR(FinanceData[[#This Row],[Date]])</f>
        <v>2025</v>
      </c>
    </row>
    <row r="325" spans="1:11">
      <c r="A325" s="1">
        <v>45926</v>
      </c>
      <c r="B325" t="s">
        <v>41</v>
      </c>
      <c r="D325" t="s">
        <v>26</v>
      </c>
      <c r="E325" t="s">
        <v>26</v>
      </c>
      <c r="F325" t="s">
        <v>14</v>
      </c>
      <c r="G325">
        <v>9818</v>
      </c>
      <c r="H325" t="s">
        <v>15</v>
      </c>
      <c r="I325" t="str">
        <f>TEXT(FinanceData[[#This Row],[Date]],"dddd")</f>
        <v>Friday</v>
      </c>
      <c r="J325" t="str">
        <f>IF(OR(FinanceData[[#This Row],[Day]]="Saturday",FinanceData[[#This Row],[Day]]="Sunday"),"Weekend","Weekday")</f>
        <v>Weekday</v>
      </c>
      <c r="K325">
        <f>YEAR(FinanceData[[#This Row],[Date]])</f>
        <v>2025</v>
      </c>
    </row>
    <row r="326" spans="1:11">
      <c r="A326" s="1">
        <v>45927</v>
      </c>
      <c r="B326" t="s">
        <v>41</v>
      </c>
      <c r="D326" t="s">
        <v>16</v>
      </c>
      <c r="E326" t="s">
        <v>16</v>
      </c>
      <c r="F326" t="s">
        <v>14</v>
      </c>
      <c r="G326">
        <v>3633</v>
      </c>
      <c r="H326" t="s">
        <v>24</v>
      </c>
      <c r="I326" t="str">
        <f>TEXT(FinanceData[[#This Row],[Date]],"dddd")</f>
        <v>Saturday</v>
      </c>
      <c r="J326" t="str">
        <f>IF(OR(FinanceData[[#This Row],[Day]]="Saturday",FinanceData[[#This Row],[Day]]="Sunday"),"Weekend","Weekday")</f>
        <v>Weekend</v>
      </c>
      <c r="K326">
        <f>YEAR(FinanceData[[#This Row],[Date]])</f>
        <v>2025</v>
      </c>
    </row>
    <row r="327" spans="1:11">
      <c r="A327" s="1">
        <v>45928</v>
      </c>
      <c r="B327" t="s">
        <v>41</v>
      </c>
      <c r="D327" t="s">
        <v>26</v>
      </c>
      <c r="E327" t="s">
        <v>26</v>
      </c>
      <c r="F327" t="s">
        <v>14</v>
      </c>
      <c r="G327">
        <v>18229</v>
      </c>
      <c r="H327" t="s">
        <v>15</v>
      </c>
      <c r="I327" t="str">
        <f>TEXT(FinanceData[[#This Row],[Date]],"dddd")</f>
        <v>Sunday</v>
      </c>
      <c r="J327" t="str">
        <f>IF(OR(FinanceData[[#This Row],[Day]]="Saturday",FinanceData[[#This Row],[Day]]="Sunday"),"Weekend","Weekday")</f>
        <v>Weekend</v>
      </c>
      <c r="K327">
        <f>YEAR(FinanceData[[#This Row],[Date]])</f>
        <v>2025</v>
      </c>
    </row>
    <row r="328" spans="1:11">
      <c r="A328" s="1">
        <v>45929</v>
      </c>
      <c r="B328" t="s">
        <v>41</v>
      </c>
      <c r="C328" t="s">
        <v>28</v>
      </c>
      <c r="E328" t="s">
        <v>28</v>
      </c>
      <c r="F328" t="s">
        <v>11</v>
      </c>
      <c r="G328">
        <v>47913</v>
      </c>
      <c r="H328" t="s">
        <v>12</v>
      </c>
      <c r="I328" t="str">
        <f>TEXT(FinanceData[[#This Row],[Date]],"dddd")</f>
        <v>Monday</v>
      </c>
      <c r="J328" t="str">
        <f>IF(OR(FinanceData[[#This Row],[Day]]="Saturday",FinanceData[[#This Row],[Day]]="Sunday"),"Weekend","Weekday")</f>
        <v>Weekday</v>
      </c>
      <c r="K328">
        <f>YEAR(FinanceData[[#This Row],[Date]])</f>
        <v>2025</v>
      </c>
    </row>
    <row r="329" spans="1:11">
      <c r="A329" s="1">
        <v>45929</v>
      </c>
      <c r="B329" t="s">
        <v>41</v>
      </c>
      <c r="D329" t="s">
        <v>17</v>
      </c>
      <c r="E329" t="s">
        <v>17</v>
      </c>
      <c r="F329" t="s">
        <v>14</v>
      </c>
      <c r="G329">
        <v>11831</v>
      </c>
      <c r="H329" t="s">
        <v>12</v>
      </c>
      <c r="I329" t="str">
        <f>TEXT(FinanceData[[#This Row],[Date]],"dddd")</f>
        <v>Monday</v>
      </c>
      <c r="J329" t="str">
        <f>IF(OR(FinanceData[[#This Row],[Day]]="Saturday",FinanceData[[#This Row],[Day]]="Sunday"),"Weekend","Weekday")</f>
        <v>Weekday</v>
      </c>
      <c r="K329">
        <f>YEAR(FinanceData[[#This Row],[Date]])</f>
        <v>2025</v>
      </c>
    </row>
    <row r="330" spans="1:11">
      <c r="A330" s="1">
        <v>45930</v>
      </c>
      <c r="B330" t="s">
        <v>41</v>
      </c>
      <c r="D330" t="s">
        <v>27</v>
      </c>
      <c r="E330" t="s">
        <v>27</v>
      </c>
      <c r="F330" t="s">
        <v>14</v>
      </c>
      <c r="G330">
        <v>15928</v>
      </c>
      <c r="H330" t="s">
        <v>24</v>
      </c>
      <c r="I330" t="str">
        <f>TEXT(FinanceData[[#This Row],[Date]],"dddd")</f>
        <v>Tuesday</v>
      </c>
      <c r="J330" t="str">
        <f>IF(OR(FinanceData[[#This Row],[Day]]="Saturday",FinanceData[[#This Row],[Day]]="Sunday"),"Weekend","Weekday")</f>
        <v>Weekday</v>
      </c>
      <c r="K330">
        <f>YEAR(FinanceData[[#This Row],[Date]])</f>
        <v>2025</v>
      </c>
    </row>
    <row r="331" spans="1:11">
      <c r="A331" s="1">
        <v>45931</v>
      </c>
      <c r="B331" t="s">
        <v>42</v>
      </c>
      <c r="C331" t="s">
        <v>9</v>
      </c>
      <c r="E331" t="s">
        <v>10</v>
      </c>
      <c r="F331" t="s">
        <v>11</v>
      </c>
      <c r="G331">
        <v>450000</v>
      </c>
      <c r="H331" t="s">
        <v>12</v>
      </c>
      <c r="I331" t="str">
        <f>TEXT(FinanceData[[#This Row],[Date]],"dddd")</f>
        <v>Wednesday</v>
      </c>
      <c r="J331" t="str">
        <f>IF(OR(FinanceData[[#This Row],[Day]]="Saturday",FinanceData[[#This Row],[Day]]="Sunday"),"Weekend","Weekday")</f>
        <v>Weekday</v>
      </c>
      <c r="K331">
        <f>YEAR(FinanceData[[#This Row],[Date]])</f>
        <v>2025</v>
      </c>
    </row>
    <row r="332" spans="1:11">
      <c r="A332" s="1">
        <v>45931</v>
      </c>
      <c r="B332" t="s">
        <v>42</v>
      </c>
      <c r="D332" t="s">
        <v>26</v>
      </c>
      <c r="E332" t="s">
        <v>26</v>
      </c>
      <c r="F332" t="s">
        <v>14</v>
      </c>
      <c r="G332">
        <v>12848</v>
      </c>
      <c r="H332" t="s">
        <v>12</v>
      </c>
      <c r="I332" t="str">
        <f>TEXT(FinanceData[[#This Row],[Date]],"dddd")</f>
        <v>Wednesday</v>
      </c>
      <c r="J332" t="str">
        <f>IF(OR(FinanceData[[#This Row],[Day]]="Saturday",FinanceData[[#This Row],[Day]]="Sunday"),"Weekend","Weekday")</f>
        <v>Weekday</v>
      </c>
      <c r="K332">
        <f>YEAR(FinanceData[[#This Row],[Date]])</f>
        <v>2025</v>
      </c>
    </row>
    <row r="333" spans="1:11">
      <c r="A333" s="1">
        <v>45932</v>
      </c>
      <c r="B333" t="s">
        <v>42</v>
      </c>
      <c r="D333" t="s">
        <v>25</v>
      </c>
      <c r="E333" t="s">
        <v>25</v>
      </c>
      <c r="F333" t="s">
        <v>14</v>
      </c>
      <c r="G333">
        <v>5559</v>
      </c>
      <c r="H333" t="s">
        <v>24</v>
      </c>
      <c r="I333" t="str">
        <f>TEXT(FinanceData[[#This Row],[Date]],"dddd")</f>
        <v>Thursday</v>
      </c>
      <c r="J333" t="str">
        <f>IF(OR(FinanceData[[#This Row],[Day]]="Saturday",FinanceData[[#This Row],[Day]]="Sunday"),"Weekend","Weekday")</f>
        <v>Weekday</v>
      </c>
      <c r="K333">
        <f>YEAR(FinanceData[[#This Row],[Date]])</f>
        <v>2025</v>
      </c>
    </row>
    <row r="334" spans="1:11">
      <c r="A334" s="1">
        <v>45933</v>
      </c>
      <c r="B334" t="s">
        <v>42</v>
      </c>
      <c r="D334" t="s">
        <v>21</v>
      </c>
      <c r="E334" t="s">
        <v>21</v>
      </c>
      <c r="F334" t="s">
        <v>14</v>
      </c>
      <c r="G334">
        <v>5004</v>
      </c>
      <c r="H334" t="s">
        <v>15</v>
      </c>
      <c r="I334" t="str">
        <f>TEXT(FinanceData[[#This Row],[Date]],"dddd")</f>
        <v>Friday</v>
      </c>
      <c r="J334" t="str">
        <f>IF(OR(FinanceData[[#This Row],[Day]]="Saturday",FinanceData[[#This Row],[Day]]="Sunday"),"Weekend","Weekday")</f>
        <v>Weekday</v>
      </c>
      <c r="K334">
        <f>YEAR(FinanceData[[#This Row],[Date]])</f>
        <v>2025</v>
      </c>
    </row>
    <row r="335" spans="1:11">
      <c r="A335" s="1">
        <v>45934</v>
      </c>
      <c r="B335" t="s">
        <v>42</v>
      </c>
      <c r="D335" t="s">
        <v>25</v>
      </c>
      <c r="E335" t="s">
        <v>25</v>
      </c>
      <c r="F335" t="s">
        <v>14</v>
      </c>
      <c r="G335">
        <v>6826</v>
      </c>
      <c r="H335" t="s">
        <v>19</v>
      </c>
      <c r="I335" t="str">
        <f>TEXT(FinanceData[[#This Row],[Date]],"dddd")</f>
        <v>Saturday</v>
      </c>
      <c r="J335" t="str">
        <f>IF(OR(FinanceData[[#This Row],[Day]]="Saturday",FinanceData[[#This Row],[Day]]="Sunday"),"Weekend","Weekday")</f>
        <v>Weekend</v>
      </c>
      <c r="K335">
        <f>YEAR(FinanceData[[#This Row],[Date]])</f>
        <v>2025</v>
      </c>
    </row>
    <row r="336" spans="1:11">
      <c r="A336" s="1">
        <v>45935</v>
      </c>
      <c r="B336" t="s">
        <v>42</v>
      </c>
      <c r="D336" t="s">
        <v>34</v>
      </c>
      <c r="E336" t="s">
        <v>34</v>
      </c>
      <c r="F336" t="s">
        <v>14</v>
      </c>
      <c r="G336">
        <v>5335</v>
      </c>
      <c r="H336" t="s">
        <v>15</v>
      </c>
      <c r="I336" t="str">
        <f>TEXT(FinanceData[[#This Row],[Date]],"dddd")</f>
        <v>Sunday</v>
      </c>
      <c r="J336" t="str">
        <f>IF(OR(FinanceData[[#This Row],[Day]]="Saturday",FinanceData[[#This Row],[Day]]="Sunday"),"Weekend","Weekday")</f>
        <v>Weekend</v>
      </c>
      <c r="K336">
        <f>YEAR(FinanceData[[#This Row],[Date]])</f>
        <v>2025</v>
      </c>
    </row>
    <row r="337" spans="1:11">
      <c r="A337" s="1">
        <v>45936</v>
      </c>
      <c r="B337" t="s">
        <v>42</v>
      </c>
      <c r="D337" t="s">
        <v>27</v>
      </c>
      <c r="E337" t="s">
        <v>27</v>
      </c>
      <c r="F337" t="s">
        <v>14</v>
      </c>
      <c r="G337">
        <v>15184</v>
      </c>
      <c r="H337" t="s">
        <v>24</v>
      </c>
      <c r="I337" t="str">
        <f>TEXT(FinanceData[[#This Row],[Date]],"dddd")</f>
        <v>Monday</v>
      </c>
      <c r="J337" t="str">
        <f>IF(OR(FinanceData[[#This Row],[Day]]="Saturday",FinanceData[[#This Row],[Day]]="Sunday"),"Weekend","Weekday")</f>
        <v>Weekday</v>
      </c>
      <c r="K337">
        <f>YEAR(FinanceData[[#This Row],[Date]])</f>
        <v>2025</v>
      </c>
    </row>
    <row r="338" spans="1:11">
      <c r="A338" s="1">
        <v>45937</v>
      </c>
      <c r="B338" t="s">
        <v>42</v>
      </c>
      <c r="D338" t="s">
        <v>30</v>
      </c>
      <c r="E338" t="s">
        <v>30</v>
      </c>
      <c r="F338" t="s">
        <v>14</v>
      </c>
      <c r="G338">
        <v>5973</v>
      </c>
      <c r="H338" t="s">
        <v>12</v>
      </c>
      <c r="I338" t="str">
        <f>TEXT(FinanceData[[#This Row],[Date]],"dddd")</f>
        <v>Tuesday</v>
      </c>
      <c r="J338" t="str">
        <f>IF(OR(FinanceData[[#This Row],[Day]]="Saturday",FinanceData[[#This Row],[Day]]="Sunday"),"Weekend","Weekday")</f>
        <v>Weekday</v>
      </c>
      <c r="K338">
        <f>YEAR(FinanceData[[#This Row],[Date]])</f>
        <v>2025</v>
      </c>
    </row>
    <row r="339" spans="1:11">
      <c r="A339" s="1">
        <v>45938</v>
      </c>
      <c r="B339" t="s">
        <v>42</v>
      </c>
      <c r="C339" t="s">
        <v>31</v>
      </c>
      <c r="E339" t="s">
        <v>31</v>
      </c>
      <c r="F339" t="s">
        <v>11</v>
      </c>
      <c r="G339">
        <v>140805</v>
      </c>
      <c r="H339" t="s">
        <v>12</v>
      </c>
      <c r="I339" t="str">
        <f>TEXT(FinanceData[[#This Row],[Date]],"dddd")</f>
        <v>Wednesday</v>
      </c>
      <c r="J339" t="str">
        <f>IF(OR(FinanceData[[#This Row],[Day]]="Saturday",FinanceData[[#This Row],[Day]]="Sunday"),"Weekend","Weekday")</f>
        <v>Weekday</v>
      </c>
      <c r="K339">
        <f>YEAR(FinanceData[[#This Row],[Date]])</f>
        <v>2025</v>
      </c>
    </row>
    <row r="340" spans="1:11">
      <c r="A340" s="1">
        <v>45938</v>
      </c>
      <c r="B340" t="s">
        <v>42</v>
      </c>
      <c r="D340" t="s">
        <v>29</v>
      </c>
      <c r="E340" t="s">
        <v>29</v>
      </c>
      <c r="F340" t="s">
        <v>14</v>
      </c>
      <c r="G340">
        <v>3235</v>
      </c>
      <c r="H340" t="s">
        <v>12</v>
      </c>
      <c r="I340" t="str">
        <f>TEXT(FinanceData[[#This Row],[Date]],"dddd")</f>
        <v>Wednesday</v>
      </c>
      <c r="J340" t="str">
        <f>IF(OR(FinanceData[[#This Row],[Day]]="Saturday",FinanceData[[#This Row],[Day]]="Sunday"),"Weekend","Weekday")</f>
        <v>Weekday</v>
      </c>
      <c r="K340">
        <f>YEAR(FinanceData[[#This Row],[Date]])</f>
        <v>2025</v>
      </c>
    </row>
    <row r="341" spans="1:11">
      <c r="A341" s="1">
        <v>45939</v>
      </c>
      <c r="B341" t="s">
        <v>42</v>
      </c>
      <c r="D341" t="s">
        <v>13</v>
      </c>
      <c r="E341" t="s">
        <v>13</v>
      </c>
      <c r="F341" t="s">
        <v>14</v>
      </c>
      <c r="G341">
        <v>8617</v>
      </c>
      <c r="H341" t="s">
        <v>24</v>
      </c>
      <c r="I341" t="str">
        <f>TEXT(FinanceData[[#This Row],[Date]],"dddd")</f>
        <v>Thursday</v>
      </c>
      <c r="J341" t="str">
        <f>IF(OR(FinanceData[[#This Row],[Day]]="Saturday",FinanceData[[#This Row],[Day]]="Sunday"),"Weekend","Weekday")</f>
        <v>Weekday</v>
      </c>
      <c r="K341">
        <f>YEAR(FinanceData[[#This Row],[Date]])</f>
        <v>2025</v>
      </c>
    </row>
    <row r="342" spans="1:11">
      <c r="A342" s="1">
        <v>45940</v>
      </c>
      <c r="B342" t="s">
        <v>42</v>
      </c>
      <c r="D342" t="s">
        <v>22</v>
      </c>
      <c r="E342" t="s">
        <v>22</v>
      </c>
      <c r="F342" t="s">
        <v>14</v>
      </c>
      <c r="G342">
        <v>67043</v>
      </c>
      <c r="H342" t="s">
        <v>19</v>
      </c>
      <c r="I342" t="str">
        <f>TEXT(FinanceData[[#This Row],[Date]],"dddd")</f>
        <v>Friday</v>
      </c>
      <c r="J342" t="str">
        <f>IF(OR(FinanceData[[#This Row],[Day]]="Saturday",FinanceData[[#This Row],[Day]]="Sunday"),"Weekend","Weekday")</f>
        <v>Weekday</v>
      </c>
      <c r="K342">
        <f>YEAR(FinanceData[[#This Row],[Date]])</f>
        <v>2025</v>
      </c>
    </row>
    <row r="343" spans="1:11">
      <c r="A343" s="1">
        <v>45941</v>
      </c>
      <c r="B343" t="s">
        <v>42</v>
      </c>
      <c r="D343" t="s">
        <v>29</v>
      </c>
      <c r="E343" t="s">
        <v>29</v>
      </c>
      <c r="F343" t="s">
        <v>14</v>
      </c>
      <c r="G343">
        <v>2762</v>
      </c>
      <c r="H343" t="s">
        <v>12</v>
      </c>
      <c r="I343" t="str">
        <f>TEXT(FinanceData[[#This Row],[Date]],"dddd")</f>
        <v>Saturday</v>
      </c>
      <c r="J343" t="str">
        <f>IF(OR(FinanceData[[#This Row],[Day]]="Saturday",FinanceData[[#This Row],[Day]]="Sunday"),"Weekend","Weekday")</f>
        <v>Weekend</v>
      </c>
      <c r="K343">
        <f>YEAR(FinanceData[[#This Row],[Date]])</f>
        <v>2025</v>
      </c>
    </row>
    <row r="344" spans="1:11">
      <c r="A344" s="1">
        <v>45942</v>
      </c>
      <c r="B344" t="s">
        <v>42</v>
      </c>
      <c r="D344" t="s">
        <v>29</v>
      </c>
      <c r="E344" t="s">
        <v>29</v>
      </c>
      <c r="F344" t="s">
        <v>14</v>
      </c>
      <c r="G344">
        <v>7341</v>
      </c>
      <c r="H344" t="s">
        <v>12</v>
      </c>
      <c r="I344" t="str">
        <f>TEXT(FinanceData[[#This Row],[Date]],"dddd")</f>
        <v>Sunday</v>
      </c>
      <c r="J344" t="str">
        <f>IF(OR(FinanceData[[#This Row],[Day]]="Saturday",FinanceData[[#This Row],[Day]]="Sunday"),"Weekend","Weekday")</f>
        <v>Weekend</v>
      </c>
      <c r="K344">
        <f>YEAR(FinanceData[[#This Row],[Date]])</f>
        <v>2025</v>
      </c>
    </row>
    <row r="345" spans="1:11">
      <c r="A345" s="1">
        <v>45943</v>
      </c>
      <c r="B345" t="s">
        <v>42</v>
      </c>
      <c r="D345" t="s">
        <v>16</v>
      </c>
      <c r="E345" t="s">
        <v>16</v>
      </c>
      <c r="F345" t="s">
        <v>14</v>
      </c>
      <c r="G345">
        <v>5903</v>
      </c>
      <c r="H345" t="s">
        <v>15</v>
      </c>
      <c r="I345" t="str">
        <f>TEXT(FinanceData[[#This Row],[Date]],"dddd")</f>
        <v>Monday</v>
      </c>
      <c r="J345" t="str">
        <f>IF(OR(FinanceData[[#This Row],[Day]]="Saturday",FinanceData[[#This Row],[Day]]="Sunday"),"Weekend","Weekday")</f>
        <v>Weekday</v>
      </c>
      <c r="K345">
        <f>YEAR(FinanceData[[#This Row],[Date]])</f>
        <v>2025</v>
      </c>
    </row>
    <row r="346" spans="1:11">
      <c r="A346" s="1">
        <v>45944</v>
      </c>
      <c r="B346" t="s">
        <v>42</v>
      </c>
      <c r="D346" t="s">
        <v>21</v>
      </c>
      <c r="E346" t="s">
        <v>21</v>
      </c>
      <c r="F346" t="s">
        <v>14</v>
      </c>
      <c r="G346">
        <v>7958</v>
      </c>
      <c r="H346" t="s">
        <v>24</v>
      </c>
      <c r="I346" t="str">
        <f>TEXT(FinanceData[[#This Row],[Date]],"dddd")</f>
        <v>Tuesday</v>
      </c>
      <c r="J346" t="str">
        <f>IF(OR(FinanceData[[#This Row],[Day]]="Saturday",FinanceData[[#This Row],[Day]]="Sunday"),"Weekend","Weekday")</f>
        <v>Weekday</v>
      </c>
      <c r="K346">
        <f>YEAR(FinanceData[[#This Row],[Date]])</f>
        <v>2025</v>
      </c>
    </row>
    <row r="347" spans="1:11">
      <c r="A347" s="1">
        <v>45945</v>
      </c>
      <c r="B347" t="s">
        <v>42</v>
      </c>
      <c r="D347" t="s">
        <v>22</v>
      </c>
      <c r="E347" t="s">
        <v>22</v>
      </c>
      <c r="F347" t="s">
        <v>14</v>
      </c>
      <c r="G347">
        <v>55996</v>
      </c>
      <c r="H347" t="s">
        <v>15</v>
      </c>
      <c r="I347" t="str">
        <f>TEXT(FinanceData[[#This Row],[Date]],"dddd")</f>
        <v>Wednesday</v>
      </c>
      <c r="J347" t="str">
        <f>IF(OR(FinanceData[[#This Row],[Day]]="Saturday",FinanceData[[#This Row],[Day]]="Sunday"),"Weekend","Weekday")</f>
        <v>Weekday</v>
      </c>
      <c r="K347">
        <f>YEAR(FinanceData[[#This Row],[Date]])</f>
        <v>2025</v>
      </c>
    </row>
    <row r="348" spans="1:11">
      <c r="A348" s="1">
        <v>45946</v>
      </c>
      <c r="B348" t="s">
        <v>42</v>
      </c>
      <c r="D348" t="s">
        <v>17</v>
      </c>
      <c r="E348" t="s">
        <v>17</v>
      </c>
      <c r="F348" t="s">
        <v>14</v>
      </c>
      <c r="G348">
        <v>11631</v>
      </c>
      <c r="H348" t="s">
        <v>15</v>
      </c>
      <c r="I348" t="str">
        <f>TEXT(FinanceData[[#This Row],[Date]],"dddd")</f>
        <v>Thursday</v>
      </c>
      <c r="J348" t="str">
        <f>IF(OR(FinanceData[[#This Row],[Day]]="Saturday",FinanceData[[#This Row],[Day]]="Sunday"),"Weekend","Weekday")</f>
        <v>Weekday</v>
      </c>
      <c r="K348">
        <f>YEAR(FinanceData[[#This Row],[Date]])</f>
        <v>2025</v>
      </c>
    </row>
    <row r="349" spans="1:11">
      <c r="A349" s="1">
        <v>45947</v>
      </c>
      <c r="B349" t="s">
        <v>42</v>
      </c>
      <c r="D349" t="s">
        <v>18</v>
      </c>
      <c r="E349" t="s">
        <v>18</v>
      </c>
      <c r="F349" t="s">
        <v>14</v>
      </c>
      <c r="G349">
        <v>3012</v>
      </c>
      <c r="H349" t="s">
        <v>12</v>
      </c>
      <c r="I349" t="str">
        <f>TEXT(FinanceData[[#This Row],[Date]],"dddd")</f>
        <v>Friday</v>
      </c>
      <c r="J349" t="str">
        <f>IF(OR(FinanceData[[#This Row],[Day]]="Saturday",FinanceData[[#This Row],[Day]]="Sunday"),"Weekend","Weekday")</f>
        <v>Weekday</v>
      </c>
      <c r="K349">
        <f>YEAR(FinanceData[[#This Row],[Date]])</f>
        <v>2025</v>
      </c>
    </row>
    <row r="350" spans="1:11">
      <c r="A350" s="1">
        <v>45948</v>
      </c>
      <c r="B350" t="s">
        <v>42</v>
      </c>
      <c r="D350" t="s">
        <v>32</v>
      </c>
      <c r="E350" t="s">
        <v>32</v>
      </c>
      <c r="F350" t="s">
        <v>14</v>
      </c>
      <c r="G350">
        <v>1817</v>
      </c>
      <c r="H350" t="s">
        <v>12</v>
      </c>
      <c r="I350" t="str">
        <f>TEXT(FinanceData[[#This Row],[Date]],"dddd")</f>
        <v>Saturday</v>
      </c>
      <c r="J350" t="str">
        <f>IF(OR(FinanceData[[#This Row],[Day]]="Saturday",FinanceData[[#This Row],[Day]]="Sunday"),"Weekend","Weekday")</f>
        <v>Weekend</v>
      </c>
      <c r="K350">
        <f>YEAR(FinanceData[[#This Row],[Date]])</f>
        <v>2025</v>
      </c>
    </row>
    <row r="351" spans="1:11">
      <c r="A351" s="1">
        <v>45949</v>
      </c>
      <c r="B351" t="s">
        <v>42</v>
      </c>
      <c r="D351" t="s">
        <v>21</v>
      </c>
      <c r="E351" t="s">
        <v>21</v>
      </c>
      <c r="F351" t="s">
        <v>14</v>
      </c>
      <c r="G351">
        <v>5614</v>
      </c>
      <c r="H351" t="s">
        <v>15</v>
      </c>
      <c r="I351" t="str">
        <f>TEXT(FinanceData[[#This Row],[Date]],"dddd")</f>
        <v>Sunday</v>
      </c>
      <c r="J351" t="str">
        <f>IF(OR(FinanceData[[#This Row],[Day]]="Saturday",FinanceData[[#This Row],[Day]]="Sunday"),"Weekend","Weekday")</f>
        <v>Weekend</v>
      </c>
      <c r="K351">
        <f>YEAR(FinanceData[[#This Row],[Date]])</f>
        <v>2025</v>
      </c>
    </row>
    <row r="352" spans="1:11">
      <c r="A352" s="1">
        <v>45950</v>
      </c>
      <c r="B352" t="s">
        <v>42</v>
      </c>
      <c r="C352" t="s">
        <v>28</v>
      </c>
      <c r="E352" t="s">
        <v>28</v>
      </c>
      <c r="F352" t="s">
        <v>11</v>
      </c>
      <c r="G352">
        <v>71622</v>
      </c>
      <c r="H352" t="s">
        <v>12</v>
      </c>
      <c r="I352" t="str">
        <f>TEXT(FinanceData[[#This Row],[Date]],"dddd")</f>
        <v>Monday</v>
      </c>
      <c r="J352" t="str">
        <f>IF(OR(FinanceData[[#This Row],[Day]]="Saturday",FinanceData[[#This Row],[Day]]="Sunday"),"Weekend","Weekday")</f>
        <v>Weekday</v>
      </c>
      <c r="K352">
        <f>YEAR(FinanceData[[#This Row],[Date]])</f>
        <v>2025</v>
      </c>
    </row>
    <row r="353" spans="1:11">
      <c r="A353" s="1">
        <v>45950</v>
      </c>
      <c r="B353" t="s">
        <v>42</v>
      </c>
      <c r="D353" t="s">
        <v>25</v>
      </c>
      <c r="E353" t="s">
        <v>25</v>
      </c>
      <c r="F353" t="s">
        <v>14</v>
      </c>
      <c r="G353">
        <v>6147</v>
      </c>
      <c r="H353" t="s">
        <v>15</v>
      </c>
      <c r="I353" t="str">
        <f>TEXT(FinanceData[[#This Row],[Date]],"dddd")</f>
        <v>Monday</v>
      </c>
      <c r="J353" t="str">
        <f>IF(OR(FinanceData[[#This Row],[Day]]="Saturday",FinanceData[[#This Row],[Day]]="Sunday"),"Weekend","Weekday")</f>
        <v>Weekday</v>
      </c>
      <c r="K353">
        <f>YEAR(FinanceData[[#This Row],[Date]])</f>
        <v>2025</v>
      </c>
    </row>
    <row r="354" spans="1:11">
      <c r="A354" s="1">
        <v>45951</v>
      </c>
      <c r="B354" t="s">
        <v>42</v>
      </c>
      <c r="D354" t="s">
        <v>32</v>
      </c>
      <c r="E354" t="s">
        <v>32</v>
      </c>
      <c r="F354" t="s">
        <v>14</v>
      </c>
      <c r="G354">
        <v>2389</v>
      </c>
      <c r="H354" t="s">
        <v>15</v>
      </c>
      <c r="I354" t="str">
        <f>TEXT(FinanceData[[#This Row],[Date]],"dddd")</f>
        <v>Tuesday</v>
      </c>
      <c r="J354" t="str">
        <f>IF(OR(FinanceData[[#This Row],[Day]]="Saturday",FinanceData[[#This Row],[Day]]="Sunday"),"Weekend","Weekday")</f>
        <v>Weekday</v>
      </c>
      <c r="K354">
        <f>YEAR(FinanceData[[#This Row],[Date]])</f>
        <v>2025</v>
      </c>
    </row>
    <row r="355" spans="1:11">
      <c r="A355" s="1">
        <v>45952</v>
      </c>
      <c r="B355" t="s">
        <v>42</v>
      </c>
      <c r="D355" t="s">
        <v>27</v>
      </c>
      <c r="E355" t="s">
        <v>27</v>
      </c>
      <c r="F355" t="s">
        <v>14</v>
      </c>
      <c r="G355">
        <v>10035</v>
      </c>
      <c r="H355" t="s">
        <v>15</v>
      </c>
      <c r="I355" t="str">
        <f>TEXT(FinanceData[[#This Row],[Date]],"dddd")</f>
        <v>Wednesday</v>
      </c>
      <c r="J355" t="str">
        <f>IF(OR(FinanceData[[#This Row],[Day]]="Saturday",FinanceData[[#This Row],[Day]]="Sunday"),"Weekend","Weekday")</f>
        <v>Weekday</v>
      </c>
      <c r="K355">
        <f>YEAR(FinanceData[[#This Row],[Date]])</f>
        <v>2025</v>
      </c>
    </row>
    <row r="356" spans="1:11">
      <c r="A356" s="1">
        <v>45953</v>
      </c>
      <c r="B356" t="s">
        <v>42</v>
      </c>
      <c r="D356" t="s">
        <v>21</v>
      </c>
      <c r="E356" t="s">
        <v>21</v>
      </c>
      <c r="F356" t="s">
        <v>14</v>
      </c>
      <c r="G356">
        <v>3330</v>
      </c>
      <c r="H356" t="s">
        <v>15</v>
      </c>
      <c r="I356" t="str">
        <f>TEXT(FinanceData[[#This Row],[Date]],"dddd")</f>
        <v>Thursday</v>
      </c>
      <c r="J356" t="str">
        <f>IF(OR(FinanceData[[#This Row],[Day]]="Saturday",FinanceData[[#This Row],[Day]]="Sunday"),"Weekend","Weekday")</f>
        <v>Weekday</v>
      </c>
      <c r="K356">
        <f>YEAR(FinanceData[[#This Row],[Date]])</f>
        <v>2025</v>
      </c>
    </row>
    <row r="357" spans="1:11">
      <c r="A357" s="1">
        <v>45954</v>
      </c>
      <c r="B357" t="s">
        <v>42</v>
      </c>
      <c r="D357" t="s">
        <v>26</v>
      </c>
      <c r="E357" t="s">
        <v>26</v>
      </c>
      <c r="F357" t="s">
        <v>14</v>
      </c>
      <c r="G357">
        <v>24009</v>
      </c>
      <c r="H357" t="s">
        <v>24</v>
      </c>
      <c r="I357" t="str">
        <f>TEXT(FinanceData[[#This Row],[Date]],"dddd")</f>
        <v>Friday</v>
      </c>
      <c r="J357" t="str">
        <f>IF(OR(FinanceData[[#This Row],[Day]]="Saturday",FinanceData[[#This Row],[Day]]="Sunday"),"Weekend","Weekday")</f>
        <v>Weekday</v>
      </c>
      <c r="K357">
        <f>YEAR(FinanceData[[#This Row],[Date]])</f>
        <v>2025</v>
      </c>
    </row>
    <row r="358" spans="1:11">
      <c r="A358" s="1">
        <v>45955</v>
      </c>
      <c r="B358" t="s">
        <v>42</v>
      </c>
      <c r="D358" t="s">
        <v>29</v>
      </c>
      <c r="E358" t="s">
        <v>29</v>
      </c>
      <c r="F358" t="s">
        <v>14</v>
      </c>
      <c r="G358">
        <v>8080</v>
      </c>
      <c r="H358" t="s">
        <v>24</v>
      </c>
      <c r="I358" t="str">
        <f>TEXT(FinanceData[[#This Row],[Date]],"dddd")</f>
        <v>Saturday</v>
      </c>
      <c r="J358" t="str">
        <f>IF(OR(FinanceData[[#This Row],[Day]]="Saturday",FinanceData[[#This Row],[Day]]="Sunday"),"Weekend","Weekday")</f>
        <v>Weekend</v>
      </c>
      <c r="K358">
        <f>YEAR(FinanceData[[#This Row],[Date]])</f>
        <v>2025</v>
      </c>
    </row>
    <row r="359" spans="1:11">
      <c r="A359" s="1">
        <v>45956</v>
      </c>
      <c r="B359" t="s">
        <v>42</v>
      </c>
      <c r="D359" t="s">
        <v>34</v>
      </c>
      <c r="E359" t="s">
        <v>34</v>
      </c>
      <c r="F359" t="s">
        <v>14</v>
      </c>
      <c r="G359">
        <v>15879</v>
      </c>
      <c r="H359" t="s">
        <v>19</v>
      </c>
      <c r="I359" t="str">
        <f>TEXT(FinanceData[[#This Row],[Date]],"dddd")</f>
        <v>Sunday</v>
      </c>
      <c r="J359" t="str">
        <f>IF(OR(FinanceData[[#This Row],[Day]]="Saturday",FinanceData[[#This Row],[Day]]="Sunday"),"Weekend","Weekday")</f>
        <v>Weekend</v>
      </c>
      <c r="K359">
        <f>YEAR(FinanceData[[#This Row],[Date]])</f>
        <v>2025</v>
      </c>
    </row>
    <row r="360" spans="1:11">
      <c r="A360" s="1">
        <v>45957</v>
      </c>
      <c r="B360" t="s">
        <v>42</v>
      </c>
      <c r="D360" t="s">
        <v>13</v>
      </c>
      <c r="E360" t="s">
        <v>13</v>
      </c>
      <c r="F360" t="s">
        <v>14</v>
      </c>
      <c r="G360">
        <v>5805</v>
      </c>
      <c r="H360" t="s">
        <v>15</v>
      </c>
      <c r="I360" t="str">
        <f>TEXT(FinanceData[[#This Row],[Date]],"dddd")</f>
        <v>Monday</v>
      </c>
      <c r="J360" t="str">
        <f>IF(OR(FinanceData[[#This Row],[Day]]="Saturday",FinanceData[[#This Row],[Day]]="Sunday"),"Weekend","Weekday")</f>
        <v>Weekday</v>
      </c>
      <c r="K360">
        <f>YEAR(FinanceData[[#This Row],[Date]])</f>
        <v>2025</v>
      </c>
    </row>
    <row r="361" spans="1:11">
      <c r="A361" s="1">
        <v>45958</v>
      </c>
      <c r="B361" t="s">
        <v>42</v>
      </c>
      <c r="D361" t="s">
        <v>17</v>
      </c>
      <c r="E361" t="s">
        <v>17</v>
      </c>
      <c r="F361" t="s">
        <v>14</v>
      </c>
      <c r="G361">
        <v>5170</v>
      </c>
      <c r="H361" t="s">
        <v>12</v>
      </c>
      <c r="I361" t="str">
        <f>TEXT(FinanceData[[#This Row],[Date]],"dddd")</f>
        <v>Tuesday</v>
      </c>
      <c r="J361" t="str">
        <f>IF(OR(FinanceData[[#This Row],[Day]]="Saturday",FinanceData[[#This Row],[Day]]="Sunday"),"Weekend","Weekday")</f>
        <v>Weekday</v>
      </c>
      <c r="K361">
        <f>YEAR(FinanceData[[#This Row],[Date]])</f>
        <v>2025</v>
      </c>
    </row>
    <row r="362" spans="1:11">
      <c r="A362" s="1">
        <v>45959</v>
      </c>
      <c r="B362" t="s">
        <v>42</v>
      </c>
      <c r="D362" t="s">
        <v>27</v>
      </c>
      <c r="E362" t="s">
        <v>27</v>
      </c>
      <c r="F362" t="s">
        <v>14</v>
      </c>
      <c r="G362">
        <v>6565</v>
      </c>
      <c r="H362" t="s">
        <v>15</v>
      </c>
      <c r="I362" t="str">
        <f>TEXT(FinanceData[[#This Row],[Date]],"dddd")</f>
        <v>Wednesday</v>
      </c>
      <c r="J362" t="str">
        <f>IF(OR(FinanceData[[#This Row],[Day]]="Saturday",FinanceData[[#This Row],[Day]]="Sunday"),"Weekend","Weekday")</f>
        <v>Weekday</v>
      </c>
      <c r="K362">
        <f>YEAR(FinanceData[[#This Row],[Date]])</f>
        <v>2025</v>
      </c>
    </row>
    <row r="363" spans="1:11">
      <c r="A363" s="1">
        <v>45960</v>
      </c>
      <c r="B363" t="s">
        <v>42</v>
      </c>
      <c r="D363" t="s">
        <v>30</v>
      </c>
      <c r="E363" t="s">
        <v>30</v>
      </c>
      <c r="F363" t="s">
        <v>14</v>
      </c>
      <c r="G363">
        <v>3620</v>
      </c>
      <c r="H363" t="s">
        <v>24</v>
      </c>
      <c r="I363" t="str">
        <f>TEXT(FinanceData[[#This Row],[Date]],"dddd")</f>
        <v>Thursday</v>
      </c>
      <c r="J363" t="str">
        <f>IF(OR(FinanceData[[#This Row],[Day]]="Saturday",FinanceData[[#This Row],[Day]]="Sunday"),"Weekend","Weekday")</f>
        <v>Weekday</v>
      </c>
      <c r="K363">
        <f>YEAR(FinanceData[[#This Row],[Date]])</f>
        <v>2025</v>
      </c>
    </row>
    <row r="364" spans="1:11">
      <c r="A364" s="1">
        <v>45961</v>
      </c>
      <c r="B364" t="s">
        <v>42</v>
      </c>
      <c r="D364" t="s">
        <v>30</v>
      </c>
      <c r="E364" t="s">
        <v>30</v>
      </c>
      <c r="F364" t="s">
        <v>14</v>
      </c>
      <c r="G364">
        <v>4731</v>
      </c>
      <c r="H364" t="s">
        <v>19</v>
      </c>
      <c r="I364" t="str">
        <f>TEXT(FinanceData[[#This Row],[Date]],"dddd")</f>
        <v>Friday</v>
      </c>
      <c r="J364" t="str">
        <f>IF(OR(FinanceData[[#This Row],[Day]]="Saturday",FinanceData[[#This Row],[Day]]="Sunday"),"Weekend","Weekday")</f>
        <v>Weekday</v>
      </c>
      <c r="K364">
        <f>YEAR(FinanceData[[#This Row],[Date]])</f>
        <v>2025</v>
      </c>
    </row>
    <row r="365" spans="1:11">
      <c r="A365" s="1">
        <v>45962</v>
      </c>
      <c r="B365" t="s">
        <v>43</v>
      </c>
      <c r="C365" t="s">
        <v>9</v>
      </c>
      <c r="E365" t="s">
        <v>10</v>
      </c>
      <c r="F365" t="s">
        <v>11</v>
      </c>
      <c r="G365">
        <v>450000</v>
      </c>
      <c r="H365" t="s">
        <v>12</v>
      </c>
      <c r="I365" t="str">
        <f>TEXT(FinanceData[[#This Row],[Date]],"dddd")</f>
        <v>Saturday</v>
      </c>
      <c r="J365" t="str">
        <f>IF(OR(FinanceData[[#This Row],[Day]]="Saturday",FinanceData[[#This Row],[Day]]="Sunday"),"Weekend","Weekday")</f>
        <v>Weekend</v>
      </c>
      <c r="K365">
        <f>YEAR(FinanceData[[#This Row],[Date]])</f>
        <v>2025</v>
      </c>
    </row>
    <row r="366" spans="1:11">
      <c r="A366" s="1">
        <v>45962</v>
      </c>
      <c r="B366" t="s">
        <v>43</v>
      </c>
      <c r="D366" t="s">
        <v>22</v>
      </c>
      <c r="E366" t="s">
        <v>22</v>
      </c>
      <c r="F366" t="s">
        <v>14</v>
      </c>
      <c r="G366">
        <v>67816</v>
      </c>
      <c r="H366" t="s">
        <v>12</v>
      </c>
      <c r="I366" t="str">
        <f>TEXT(FinanceData[[#This Row],[Date]],"dddd")</f>
        <v>Saturday</v>
      </c>
      <c r="J366" t="str">
        <f>IF(OR(FinanceData[[#This Row],[Day]]="Saturday",FinanceData[[#This Row],[Day]]="Sunday"),"Weekend","Weekday")</f>
        <v>Weekend</v>
      </c>
      <c r="K366">
        <f>YEAR(FinanceData[[#This Row],[Date]])</f>
        <v>2025</v>
      </c>
    </row>
    <row r="367" spans="1:11">
      <c r="A367" s="1">
        <v>45963</v>
      </c>
      <c r="B367" t="s">
        <v>43</v>
      </c>
      <c r="D367" t="s">
        <v>25</v>
      </c>
      <c r="E367" t="s">
        <v>25</v>
      </c>
      <c r="F367" t="s">
        <v>14</v>
      </c>
      <c r="G367">
        <v>4329</v>
      </c>
      <c r="H367" t="s">
        <v>12</v>
      </c>
      <c r="I367" t="str">
        <f>TEXT(FinanceData[[#This Row],[Date]],"dddd")</f>
        <v>Sunday</v>
      </c>
      <c r="J367" t="str">
        <f>IF(OR(FinanceData[[#This Row],[Day]]="Saturday",FinanceData[[#This Row],[Day]]="Sunday"),"Weekend","Weekday")</f>
        <v>Weekend</v>
      </c>
      <c r="K367">
        <f>YEAR(FinanceData[[#This Row],[Date]])</f>
        <v>2025</v>
      </c>
    </row>
    <row r="368" spans="1:11">
      <c r="A368" s="1">
        <v>45964</v>
      </c>
      <c r="B368" t="s">
        <v>43</v>
      </c>
      <c r="D368" t="s">
        <v>30</v>
      </c>
      <c r="E368" t="s">
        <v>30</v>
      </c>
      <c r="F368" t="s">
        <v>14</v>
      </c>
      <c r="G368">
        <v>4707</v>
      </c>
      <c r="H368" t="s">
        <v>15</v>
      </c>
      <c r="I368" t="str">
        <f>TEXT(FinanceData[[#This Row],[Date]],"dddd")</f>
        <v>Monday</v>
      </c>
      <c r="J368" t="str">
        <f>IF(OR(FinanceData[[#This Row],[Day]]="Saturday",FinanceData[[#This Row],[Day]]="Sunday"),"Weekend","Weekday")</f>
        <v>Weekday</v>
      </c>
      <c r="K368">
        <f>YEAR(FinanceData[[#This Row],[Date]])</f>
        <v>2025</v>
      </c>
    </row>
    <row r="369" spans="1:11">
      <c r="A369" s="1">
        <v>45965</v>
      </c>
      <c r="B369" t="s">
        <v>43</v>
      </c>
      <c r="C369" t="s">
        <v>20</v>
      </c>
      <c r="E369" t="s">
        <v>20</v>
      </c>
      <c r="F369" t="s">
        <v>11</v>
      </c>
      <c r="G369">
        <v>48911</v>
      </c>
      <c r="H369" t="s">
        <v>12</v>
      </c>
      <c r="I369" t="str">
        <f>TEXT(FinanceData[[#This Row],[Date]],"dddd")</f>
        <v>Tuesday</v>
      </c>
      <c r="J369" t="str">
        <f>IF(OR(FinanceData[[#This Row],[Day]]="Saturday",FinanceData[[#This Row],[Day]]="Sunday"),"Weekend","Weekday")</f>
        <v>Weekday</v>
      </c>
      <c r="K369">
        <f>YEAR(FinanceData[[#This Row],[Date]])</f>
        <v>2025</v>
      </c>
    </row>
    <row r="370" spans="1:11">
      <c r="A370" s="1">
        <v>45965</v>
      </c>
      <c r="B370" t="s">
        <v>43</v>
      </c>
      <c r="D370" t="s">
        <v>27</v>
      </c>
      <c r="E370" t="s">
        <v>27</v>
      </c>
      <c r="F370" t="s">
        <v>14</v>
      </c>
      <c r="G370">
        <v>14750</v>
      </c>
      <c r="H370" t="s">
        <v>24</v>
      </c>
      <c r="I370" t="str">
        <f>TEXT(FinanceData[[#This Row],[Date]],"dddd")</f>
        <v>Tuesday</v>
      </c>
      <c r="J370" t="str">
        <f>IF(OR(FinanceData[[#This Row],[Day]]="Saturday",FinanceData[[#This Row],[Day]]="Sunday"),"Weekend","Weekday")</f>
        <v>Weekday</v>
      </c>
      <c r="K370">
        <f>YEAR(FinanceData[[#This Row],[Date]])</f>
        <v>2025</v>
      </c>
    </row>
    <row r="371" spans="1:11">
      <c r="A371" s="1">
        <v>45966</v>
      </c>
      <c r="B371" t="s">
        <v>43</v>
      </c>
      <c r="D371" t="s">
        <v>13</v>
      </c>
      <c r="E371" t="s">
        <v>13</v>
      </c>
      <c r="F371" t="s">
        <v>14</v>
      </c>
      <c r="G371">
        <v>5385</v>
      </c>
      <c r="H371" t="s">
        <v>15</v>
      </c>
      <c r="I371" t="str">
        <f>TEXT(FinanceData[[#This Row],[Date]],"dddd")</f>
        <v>Wednesday</v>
      </c>
      <c r="J371" t="str">
        <f>IF(OR(FinanceData[[#This Row],[Day]]="Saturday",FinanceData[[#This Row],[Day]]="Sunday"),"Weekend","Weekday")</f>
        <v>Weekday</v>
      </c>
      <c r="K371">
        <f>YEAR(FinanceData[[#This Row],[Date]])</f>
        <v>2025</v>
      </c>
    </row>
    <row r="372" spans="1:11">
      <c r="A372" s="1">
        <v>45967</v>
      </c>
      <c r="B372" t="s">
        <v>43</v>
      </c>
      <c r="D372" t="s">
        <v>22</v>
      </c>
      <c r="E372" t="s">
        <v>22</v>
      </c>
      <c r="F372" t="s">
        <v>14</v>
      </c>
      <c r="G372">
        <v>76037</v>
      </c>
      <c r="H372" t="s">
        <v>12</v>
      </c>
      <c r="I372" t="str">
        <f>TEXT(FinanceData[[#This Row],[Date]],"dddd")</f>
        <v>Thursday</v>
      </c>
      <c r="J372" t="str">
        <f>IF(OR(FinanceData[[#This Row],[Day]]="Saturday",FinanceData[[#This Row],[Day]]="Sunday"),"Weekend","Weekday")</f>
        <v>Weekday</v>
      </c>
      <c r="K372">
        <f>YEAR(FinanceData[[#This Row],[Date]])</f>
        <v>2025</v>
      </c>
    </row>
    <row r="373" spans="1:11">
      <c r="A373" s="1">
        <v>45968</v>
      </c>
      <c r="B373" t="s">
        <v>43</v>
      </c>
      <c r="D373" t="s">
        <v>30</v>
      </c>
      <c r="E373" t="s">
        <v>30</v>
      </c>
      <c r="F373" t="s">
        <v>14</v>
      </c>
      <c r="G373">
        <v>2783</v>
      </c>
      <c r="H373" t="s">
        <v>24</v>
      </c>
      <c r="I373" t="str">
        <f>TEXT(FinanceData[[#This Row],[Date]],"dddd")</f>
        <v>Friday</v>
      </c>
      <c r="J373" t="str">
        <f>IF(OR(FinanceData[[#This Row],[Day]]="Saturday",FinanceData[[#This Row],[Day]]="Sunday"),"Weekend","Weekday")</f>
        <v>Weekday</v>
      </c>
      <c r="K373">
        <f>YEAR(FinanceData[[#This Row],[Date]])</f>
        <v>2025</v>
      </c>
    </row>
    <row r="374" spans="1:11">
      <c r="A374" s="1">
        <v>45969</v>
      </c>
      <c r="B374" t="s">
        <v>43</v>
      </c>
      <c r="D374" t="s">
        <v>30</v>
      </c>
      <c r="E374" t="s">
        <v>30</v>
      </c>
      <c r="F374" t="s">
        <v>14</v>
      </c>
      <c r="G374">
        <v>3742</v>
      </c>
      <c r="H374" t="s">
        <v>19</v>
      </c>
      <c r="I374" t="str">
        <f>TEXT(FinanceData[[#This Row],[Date]],"dddd")</f>
        <v>Saturday</v>
      </c>
      <c r="J374" t="str">
        <f>IF(OR(FinanceData[[#This Row],[Day]]="Saturday",FinanceData[[#This Row],[Day]]="Sunday"),"Weekend","Weekday")</f>
        <v>Weekend</v>
      </c>
      <c r="K374">
        <f>YEAR(FinanceData[[#This Row],[Date]])</f>
        <v>2025</v>
      </c>
    </row>
    <row r="375" spans="1:11">
      <c r="A375" s="1">
        <v>45970</v>
      </c>
      <c r="B375" t="s">
        <v>43</v>
      </c>
      <c r="D375" t="s">
        <v>16</v>
      </c>
      <c r="E375" t="s">
        <v>16</v>
      </c>
      <c r="F375" t="s">
        <v>14</v>
      </c>
      <c r="G375">
        <v>3565</v>
      </c>
      <c r="H375" t="s">
        <v>19</v>
      </c>
      <c r="I375" t="str">
        <f>TEXT(FinanceData[[#This Row],[Date]],"dddd")</f>
        <v>Sunday</v>
      </c>
      <c r="J375" t="str">
        <f>IF(OR(FinanceData[[#This Row],[Day]]="Saturday",FinanceData[[#This Row],[Day]]="Sunday"),"Weekend","Weekday")</f>
        <v>Weekend</v>
      </c>
      <c r="K375">
        <f>YEAR(FinanceData[[#This Row],[Date]])</f>
        <v>2025</v>
      </c>
    </row>
    <row r="376" spans="1:11">
      <c r="A376" s="1">
        <v>45971</v>
      </c>
      <c r="B376" t="s">
        <v>43</v>
      </c>
      <c r="D376" t="s">
        <v>22</v>
      </c>
      <c r="E376" t="s">
        <v>22</v>
      </c>
      <c r="F376" t="s">
        <v>14</v>
      </c>
      <c r="G376">
        <v>67595</v>
      </c>
      <c r="H376" t="s">
        <v>19</v>
      </c>
      <c r="I376" t="str">
        <f>TEXT(FinanceData[[#This Row],[Date]],"dddd")</f>
        <v>Monday</v>
      </c>
      <c r="J376" t="str">
        <f>IF(OR(FinanceData[[#This Row],[Day]]="Saturday",FinanceData[[#This Row],[Day]]="Sunday"),"Weekend","Weekday")</f>
        <v>Weekday</v>
      </c>
      <c r="K376">
        <f>YEAR(FinanceData[[#This Row],[Date]])</f>
        <v>2025</v>
      </c>
    </row>
    <row r="377" spans="1:11">
      <c r="A377" s="1">
        <v>45972</v>
      </c>
      <c r="B377" t="s">
        <v>43</v>
      </c>
      <c r="D377" t="s">
        <v>30</v>
      </c>
      <c r="E377" t="s">
        <v>30</v>
      </c>
      <c r="F377" t="s">
        <v>14</v>
      </c>
      <c r="G377">
        <v>3106</v>
      </c>
      <c r="H377" t="s">
        <v>15</v>
      </c>
      <c r="I377" t="str">
        <f>TEXT(FinanceData[[#This Row],[Date]],"dddd")</f>
        <v>Tuesday</v>
      </c>
      <c r="J377" t="str">
        <f>IF(OR(FinanceData[[#This Row],[Day]]="Saturday",FinanceData[[#This Row],[Day]]="Sunday"),"Weekend","Weekday")</f>
        <v>Weekday</v>
      </c>
      <c r="K377">
        <f>YEAR(FinanceData[[#This Row],[Date]])</f>
        <v>2025</v>
      </c>
    </row>
    <row r="378" spans="1:11">
      <c r="A378" s="1">
        <v>45973</v>
      </c>
      <c r="B378" t="s">
        <v>43</v>
      </c>
      <c r="C378" t="s">
        <v>31</v>
      </c>
      <c r="E378" t="s">
        <v>31</v>
      </c>
      <c r="F378" t="s">
        <v>11</v>
      </c>
      <c r="G378">
        <v>176174</v>
      </c>
      <c r="H378" t="s">
        <v>12</v>
      </c>
      <c r="I378" t="str">
        <f>TEXT(FinanceData[[#This Row],[Date]],"dddd")</f>
        <v>Wednesday</v>
      </c>
      <c r="J378" t="str">
        <f>IF(OR(FinanceData[[#This Row],[Day]]="Saturday",FinanceData[[#This Row],[Day]]="Sunday"),"Weekend","Weekday")</f>
        <v>Weekday</v>
      </c>
      <c r="K378">
        <f>YEAR(FinanceData[[#This Row],[Date]])</f>
        <v>2025</v>
      </c>
    </row>
    <row r="379" spans="1:11">
      <c r="A379" s="1">
        <v>45973</v>
      </c>
      <c r="B379" t="s">
        <v>43</v>
      </c>
      <c r="D379" t="s">
        <v>25</v>
      </c>
      <c r="E379" t="s">
        <v>25</v>
      </c>
      <c r="F379" t="s">
        <v>14</v>
      </c>
      <c r="G379">
        <v>2995</v>
      </c>
      <c r="H379" t="s">
        <v>12</v>
      </c>
      <c r="I379" t="str">
        <f>TEXT(FinanceData[[#This Row],[Date]],"dddd")</f>
        <v>Wednesday</v>
      </c>
      <c r="J379" t="str">
        <f>IF(OR(FinanceData[[#This Row],[Day]]="Saturday",FinanceData[[#This Row],[Day]]="Sunday"),"Weekend","Weekday")</f>
        <v>Weekday</v>
      </c>
      <c r="K379">
        <f>YEAR(FinanceData[[#This Row],[Date]])</f>
        <v>2025</v>
      </c>
    </row>
    <row r="380" spans="1:11">
      <c r="A380" s="1">
        <v>45974</v>
      </c>
      <c r="B380" t="s">
        <v>43</v>
      </c>
      <c r="C380" t="s">
        <v>31</v>
      </c>
      <c r="E380" t="s">
        <v>31</v>
      </c>
      <c r="F380" t="s">
        <v>11</v>
      </c>
      <c r="G380">
        <v>74268</v>
      </c>
      <c r="H380" t="s">
        <v>12</v>
      </c>
      <c r="I380" t="str">
        <f>TEXT(FinanceData[[#This Row],[Date]],"dddd")</f>
        <v>Thursday</v>
      </c>
      <c r="J380" t="str">
        <f>IF(OR(FinanceData[[#This Row],[Day]]="Saturday",FinanceData[[#This Row],[Day]]="Sunday"),"Weekend","Weekday")</f>
        <v>Weekday</v>
      </c>
      <c r="K380">
        <f>YEAR(FinanceData[[#This Row],[Date]])</f>
        <v>2025</v>
      </c>
    </row>
    <row r="381" spans="1:11">
      <c r="A381" s="1">
        <v>45974</v>
      </c>
      <c r="B381" t="s">
        <v>43</v>
      </c>
      <c r="D381" t="s">
        <v>32</v>
      </c>
      <c r="E381" t="s">
        <v>32</v>
      </c>
      <c r="F381" t="s">
        <v>14</v>
      </c>
      <c r="G381">
        <v>3608</v>
      </c>
      <c r="H381" t="s">
        <v>19</v>
      </c>
      <c r="I381" t="str">
        <f>TEXT(FinanceData[[#This Row],[Date]],"dddd")</f>
        <v>Thursday</v>
      </c>
      <c r="J381" t="str">
        <f>IF(OR(FinanceData[[#This Row],[Day]]="Saturday",FinanceData[[#This Row],[Day]]="Sunday"),"Weekend","Weekday")</f>
        <v>Weekday</v>
      </c>
      <c r="K381">
        <f>YEAR(FinanceData[[#This Row],[Date]])</f>
        <v>2025</v>
      </c>
    </row>
    <row r="382" spans="1:11">
      <c r="A382" s="1">
        <v>45975</v>
      </c>
      <c r="B382" t="s">
        <v>43</v>
      </c>
      <c r="C382" t="s">
        <v>20</v>
      </c>
      <c r="E382" t="s">
        <v>20</v>
      </c>
      <c r="F382" t="s">
        <v>11</v>
      </c>
      <c r="G382">
        <v>129518</v>
      </c>
      <c r="H382" t="s">
        <v>12</v>
      </c>
      <c r="I382" t="str">
        <f>TEXT(FinanceData[[#This Row],[Date]],"dddd")</f>
        <v>Friday</v>
      </c>
      <c r="J382" t="str">
        <f>IF(OR(FinanceData[[#This Row],[Day]]="Saturday",FinanceData[[#This Row],[Day]]="Sunday"),"Weekend","Weekday")</f>
        <v>Weekday</v>
      </c>
      <c r="K382">
        <f>YEAR(FinanceData[[#This Row],[Date]])</f>
        <v>2025</v>
      </c>
    </row>
    <row r="383" spans="1:11">
      <c r="A383" s="1">
        <v>45975</v>
      </c>
      <c r="B383" t="s">
        <v>43</v>
      </c>
      <c r="D383" t="s">
        <v>26</v>
      </c>
      <c r="E383" t="s">
        <v>26</v>
      </c>
      <c r="F383" t="s">
        <v>14</v>
      </c>
      <c r="G383">
        <v>10661</v>
      </c>
      <c r="H383" t="s">
        <v>15</v>
      </c>
      <c r="I383" t="str">
        <f>TEXT(FinanceData[[#This Row],[Date]],"dddd")</f>
        <v>Friday</v>
      </c>
      <c r="J383" t="str">
        <f>IF(OR(FinanceData[[#This Row],[Day]]="Saturday",FinanceData[[#This Row],[Day]]="Sunday"),"Weekend","Weekday")</f>
        <v>Weekday</v>
      </c>
      <c r="K383">
        <f>YEAR(FinanceData[[#This Row],[Date]])</f>
        <v>2025</v>
      </c>
    </row>
    <row r="384" spans="1:11">
      <c r="A384" s="1">
        <v>45976</v>
      </c>
      <c r="B384" t="s">
        <v>43</v>
      </c>
      <c r="D384" t="s">
        <v>17</v>
      </c>
      <c r="E384" t="s">
        <v>17</v>
      </c>
      <c r="F384" t="s">
        <v>14</v>
      </c>
      <c r="G384">
        <v>7946</v>
      </c>
      <c r="H384" t="s">
        <v>15</v>
      </c>
      <c r="I384" t="str">
        <f>TEXT(FinanceData[[#This Row],[Date]],"dddd")</f>
        <v>Saturday</v>
      </c>
      <c r="J384" t="str">
        <f>IF(OR(FinanceData[[#This Row],[Day]]="Saturday",FinanceData[[#This Row],[Day]]="Sunday"),"Weekend","Weekday")</f>
        <v>Weekend</v>
      </c>
      <c r="K384">
        <f>YEAR(FinanceData[[#This Row],[Date]])</f>
        <v>2025</v>
      </c>
    </row>
    <row r="385" spans="1:11">
      <c r="A385" s="1">
        <v>45977</v>
      </c>
      <c r="B385" t="s">
        <v>43</v>
      </c>
      <c r="D385" t="s">
        <v>29</v>
      </c>
      <c r="E385" t="s">
        <v>29</v>
      </c>
      <c r="F385" t="s">
        <v>14</v>
      </c>
      <c r="G385">
        <v>5416</v>
      </c>
      <c r="H385" t="s">
        <v>12</v>
      </c>
      <c r="I385" t="str">
        <f>TEXT(FinanceData[[#This Row],[Date]],"dddd")</f>
        <v>Sunday</v>
      </c>
      <c r="J385" t="str">
        <f>IF(OR(FinanceData[[#This Row],[Day]]="Saturday",FinanceData[[#This Row],[Day]]="Sunday"),"Weekend","Weekday")</f>
        <v>Weekend</v>
      </c>
      <c r="K385">
        <f>YEAR(FinanceData[[#This Row],[Date]])</f>
        <v>2025</v>
      </c>
    </row>
    <row r="386" spans="1:11">
      <c r="A386" s="1">
        <v>45978</v>
      </c>
      <c r="B386" t="s">
        <v>43</v>
      </c>
      <c r="D386" t="s">
        <v>29</v>
      </c>
      <c r="E386" t="s">
        <v>29</v>
      </c>
      <c r="F386" t="s">
        <v>14</v>
      </c>
      <c r="G386">
        <v>6442</v>
      </c>
      <c r="H386" t="s">
        <v>19</v>
      </c>
      <c r="I386" t="str">
        <f>TEXT(FinanceData[[#This Row],[Date]],"dddd")</f>
        <v>Monday</v>
      </c>
      <c r="J386" t="str">
        <f>IF(OR(FinanceData[[#This Row],[Day]]="Saturday",FinanceData[[#This Row],[Day]]="Sunday"),"Weekend","Weekday")</f>
        <v>Weekday</v>
      </c>
      <c r="K386">
        <f>YEAR(FinanceData[[#This Row],[Date]])</f>
        <v>2025</v>
      </c>
    </row>
    <row r="387" spans="1:11">
      <c r="A387" s="1">
        <v>45979</v>
      </c>
      <c r="B387" t="s">
        <v>43</v>
      </c>
      <c r="D387" t="s">
        <v>30</v>
      </c>
      <c r="E387" t="s">
        <v>30</v>
      </c>
      <c r="F387" t="s">
        <v>14</v>
      </c>
      <c r="G387">
        <v>2891</v>
      </c>
      <c r="H387" t="s">
        <v>12</v>
      </c>
      <c r="I387" t="str">
        <f>TEXT(FinanceData[[#This Row],[Date]],"dddd")</f>
        <v>Tuesday</v>
      </c>
      <c r="J387" t="str">
        <f>IF(OR(FinanceData[[#This Row],[Day]]="Saturday",FinanceData[[#This Row],[Day]]="Sunday"),"Weekend","Weekday")</f>
        <v>Weekday</v>
      </c>
      <c r="K387">
        <f>YEAR(FinanceData[[#This Row],[Date]])</f>
        <v>2025</v>
      </c>
    </row>
    <row r="388" spans="1:11">
      <c r="A388" s="1">
        <v>45980</v>
      </c>
      <c r="B388" t="s">
        <v>43</v>
      </c>
      <c r="C388" t="s">
        <v>31</v>
      </c>
      <c r="E388" t="s">
        <v>31</v>
      </c>
      <c r="F388" t="s">
        <v>11</v>
      </c>
      <c r="G388">
        <v>172519</v>
      </c>
      <c r="H388" t="s">
        <v>12</v>
      </c>
      <c r="I388" t="str">
        <f>TEXT(FinanceData[[#This Row],[Date]],"dddd")</f>
        <v>Wednesday</v>
      </c>
      <c r="J388" t="str">
        <f>IF(OR(FinanceData[[#This Row],[Day]]="Saturday",FinanceData[[#This Row],[Day]]="Sunday"),"Weekend","Weekday")</f>
        <v>Weekday</v>
      </c>
      <c r="K388">
        <f>YEAR(FinanceData[[#This Row],[Date]])</f>
        <v>2025</v>
      </c>
    </row>
    <row r="389" spans="1:11">
      <c r="A389" s="1">
        <v>45980</v>
      </c>
      <c r="B389" t="s">
        <v>43</v>
      </c>
      <c r="D389" t="s">
        <v>25</v>
      </c>
      <c r="E389" t="s">
        <v>25</v>
      </c>
      <c r="F389" t="s">
        <v>14</v>
      </c>
      <c r="G389">
        <v>5412</v>
      </c>
      <c r="H389" t="s">
        <v>15</v>
      </c>
      <c r="I389" t="str">
        <f>TEXT(FinanceData[[#This Row],[Date]],"dddd")</f>
        <v>Wednesday</v>
      </c>
      <c r="J389" t="str">
        <f>IF(OR(FinanceData[[#This Row],[Day]]="Saturday",FinanceData[[#This Row],[Day]]="Sunday"),"Weekend","Weekday")</f>
        <v>Weekday</v>
      </c>
      <c r="K389">
        <f>YEAR(FinanceData[[#This Row],[Date]])</f>
        <v>2025</v>
      </c>
    </row>
    <row r="390" spans="1:11">
      <c r="A390" s="1">
        <v>45981</v>
      </c>
      <c r="B390" t="s">
        <v>43</v>
      </c>
      <c r="D390" t="s">
        <v>26</v>
      </c>
      <c r="E390" t="s">
        <v>26</v>
      </c>
      <c r="F390" t="s">
        <v>14</v>
      </c>
      <c r="G390">
        <v>23709</v>
      </c>
      <c r="H390" t="s">
        <v>15</v>
      </c>
      <c r="I390" t="str">
        <f>TEXT(FinanceData[[#This Row],[Date]],"dddd")</f>
        <v>Thursday</v>
      </c>
      <c r="J390" t="str">
        <f>IF(OR(FinanceData[[#This Row],[Day]]="Saturday",FinanceData[[#This Row],[Day]]="Sunday"),"Weekend","Weekday")</f>
        <v>Weekday</v>
      </c>
      <c r="K390">
        <f>YEAR(FinanceData[[#This Row],[Date]])</f>
        <v>2025</v>
      </c>
    </row>
    <row r="391" spans="1:11">
      <c r="A391" s="1">
        <v>45982</v>
      </c>
      <c r="B391" t="s">
        <v>43</v>
      </c>
      <c r="D391" t="s">
        <v>18</v>
      </c>
      <c r="E391" t="s">
        <v>18</v>
      </c>
      <c r="F391" t="s">
        <v>14</v>
      </c>
      <c r="G391">
        <v>4715</v>
      </c>
      <c r="H391" t="s">
        <v>24</v>
      </c>
      <c r="I391" t="str">
        <f>TEXT(FinanceData[[#This Row],[Date]],"dddd")</f>
        <v>Friday</v>
      </c>
      <c r="J391" t="str">
        <f>IF(OR(FinanceData[[#This Row],[Day]]="Saturday",FinanceData[[#This Row],[Day]]="Sunday"),"Weekend","Weekday")</f>
        <v>Weekday</v>
      </c>
      <c r="K391">
        <f>YEAR(FinanceData[[#This Row],[Date]])</f>
        <v>2025</v>
      </c>
    </row>
    <row r="392" spans="1:11">
      <c r="A392" s="1">
        <v>45983</v>
      </c>
      <c r="B392" t="s">
        <v>43</v>
      </c>
      <c r="D392" t="s">
        <v>18</v>
      </c>
      <c r="E392" t="s">
        <v>18</v>
      </c>
      <c r="F392" t="s">
        <v>14</v>
      </c>
      <c r="G392">
        <v>10081</v>
      </c>
      <c r="H392" t="s">
        <v>15</v>
      </c>
      <c r="I392" t="str">
        <f>TEXT(FinanceData[[#This Row],[Date]],"dddd")</f>
        <v>Saturday</v>
      </c>
      <c r="J392" t="str">
        <f>IF(OR(FinanceData[[#This Row],[Day]]="Saturday",FinanceData[[#This Row],[Day]]="Sunday"),"Weekend","Weekday")</f>
        <v>Weekend</v>
      </c>
      <c r="K392">
        <f>YEAR(FinanceData[[#This Row],[Date]])</f>
        <v>2025</v>
      </c>
    </row>
    <row r="393" spans="1:11">
      <c r="A393" s="1">
        <v>45984</v>
      </c>
      <c r="B393" t="s">
        <v>43</v>
      </c>
      <c r="D393" t="s">
        <v>22</v>
      </c>
      <c r="E393" t="s">
        <v>22</v>
      </c>
      <c r="F393" t="s">
        <v>14</v>
      </c>
      <c r="G393">
        <v>77809</v>
      </c>
      <c r="H393" t="s">
        <v>12</v>
      </c>
      <c r="I393" t="str">
        <f>TEXT(FinanceData[[#This Row],[Date]],"dddd")</f>
        <v>Sunday</v>
      </c>
      <c r="J393" t="str">
        <f>IF(OR(FinanceData[[#This Row],[Day]]="Saturday",FinanceData[[#This Row],[Day]]="Sunday"),"Weekend","Weekday")</f>
        <v>Weekend</v>
      </c>
      <c r="K393">
        <f>YEAR(FinanceData[[#This Row],[Date]])</f>
        <v>2025</v>
      </c>
    </row>
    <row r="394" spans="1:11">
      <c r="A394" s="1">
        <v>45985</v>
      </c>
      <c r="B394" t="s">
        <v>43</v>
      </c>
      <c r="C394" t="s">
        <v>23</v>
      </c>
      <c r="E394" t="s">
        <v>23</v>
      </c>
      <c r="F394" t="s">
        <v>11</v>
      </c>
      <c r="G394">
        <v>169028</v>
      </c>
      <c r="H394" t="s">
        <v>12</v>
      </c>
      <c r="I394" t="str">
        <f>TEXT(FinanceData[[#This Row],[Date]],"dddd")</f>
        <v>Monday</v>
      </c>
      <c r="J394" t="str">
        <f>IF(OR(FinanceData[[#This Row],[Day]]="Saturday",FinanceData[[#This Row],[Day]]="Sunday"),"Weekend","Weekday")</f>
        <v>Weekday</v>
      </c>
      <c r="K394">
        <f>YEAR(FinanceData[[#This Row],[Date]])</f>
        <v>2025</v>
      </c>
    </row>
    <row r="395" spans="1:11">
      <c r="A395" s="1">
        <v>45985</v>
      </c>
      <c r="B395" t="s">
        <v>43</v>
      </c>
      <c r="D395" t="s">
        <v>16</v>
      </c>
      <c r="E395" t="s">
        <v>16</v>
      </c>
      <c r="F395" t="s">
        <v>14</v>
      </c>
      <c r="G395">
        <v>1663</v>
      </c>
      <c r="H395" t="s">
        <v>12</v>
      </c>
      <c r="I395" t="str">
        <f>TEXT(FinanceData[[#This Row],[Date]],"dddd")</f>
        <v>Monday</v>
      </c>
      <c r="J395" t="str">
        <f>IF(OR(FinanceData[[#This Row],[Day]]="Saturday",FinanceData[[#This Row],[Day]]="Sunday"),"Weekend","Weekday")</f>
        <v>Weekday</v>
      </c>
      <c r="K395">
        <f>YEAR(FinanceData[[#This Row],[Date]])</f>
        <v>2025</v>
      </c>
    </row>
    <row r="396" spans="1:11">
      <c r="A396" s="1">
        <v>45986</v>
      </c>
      <c r="B396" t="s">
        <v>43</v>
      </c>
      <c r="D396" t="s">
        <v>26</v>
      </c>
      <c r="E396" t="s">
        <v>26</v>
      </c>
      <c r="F396" t="s">
        <v>14</v>
      </c>
      <c r="G396">
        <v>24897</v>
      </c>
      <c r="H396" t="s">
        <v>12</v>
      </c>
      <c r="I396" t="str">
        <f>TEXT(FinanceData[[#This Row],[Date]],"dddd")</f>
        <v>Tuesday</v>
      </c>
      <c r="J396" t="str">
        <f>IF(OR(FinanceData[[#This Row],[Day]]="Saturday",FinanceData[[#This Row],[Day]]="Sunday"),"Weekend","Weekday")</f>
        <v>Weekday</v>
      </c>
      <c r="K396">
        <f>YEAR(FinanceData[[#This Row],[Date]])</f>
        <v>2025</v>
      </c>
    </row>
    <row r="397" spans="1:11">
      <c r="A397" s="1">
        <v>45987</v>
      </c>
      <c r="B397" t="s">
        <v>43</v>
      </c>
      <c r="D397" t="s">
        <v>29</v>
      </c>
      <c r="E397" t="s">
        <v>29</v>
      </c>
      <c r="F397" t="s">
        <v>14</v>
      </c>
      <c r="G397">
        <v>5468</v>
      </c>
      <c r="H397" t="s">
        <v>15</v>
      </c>
      <c r="I397" t="str">
        <f>TEXT(FinanceData[[#This Row],[Date]],"dddd")</f>
        <v>Wednesday</v>
      </c>
      <c r="J397" t="str">
        <f>IF(OR(FinanceData[[#This Row],[Day]]="Saturday",FinanceData[[#This Row],[Day]]="Sunday"),"Weekend","Weekday")</f>
        <v>Weekday</v>
      </c>
      <c r="K397">
        <f>YEAR(FinanceData[[#This Row],[Date]])</f>
        <v>2025</v>
      </c>
    </row>
    <row r="398" spans="1:11">
      <c r="A398" s="1">
        <v>45988</v>
      </c>
      <c r="B398" t="s">
        <v>43</v>
      </c>
      <c r="D398" t="s">
        <v>21</v>
      </c>
      <c r="E398" t="s">
        <v>21</v>
      </c>
      <c r="F398" t="s">
        <v>14</v>
      </c>
      <c r="G398">
        <v>5596</v>
      </c>
      <c r="H398" t="s">
        <v>19</v>
      </c>
      <c r="I398" t="str">
        <f>TEXT(FinanceData[[#This Row],[Date]],"dddd")</f>
        <v>Thursday</v>
      </c>
      <c r="J398" t="str">
        <f>IF(OR(FinanceData[[#This Row],[Day]]="Saturday",FinanceData[[#This Row],[Day]]="Sunday"),"Weekend","Weekday")</f>
        <v>Weekday</v>
      </c>
      <c r="K398">
        <f>YEAR(FinanceData[[#This Row],[Date]])</f>
        <v>2025</v>
      </c>
    </row>
    <row r="399" spans="1:11">
      <c r="A399" s="1">
        <v>45989</v>
      </c>
      <c r="B399" t="s">
        <v>43</v>
      </c>
      <c r="D399" t="s">
        <v>32</v>
      </c>
      <c r="E399" t="s">
        <v>32</v>
      </c>
      <c r="F399" t="s">
        <v>14</v>
      </c>
      <c r="G399">
        <v>1238</v>
      </c>
      <c r="H399" t="s">
        <v>15</v>
      </c>
      <c r="I399" t="str">
        <f>TEXT(FinanceData[[#This Row],[Date]],"dddd")</f>
        <v>Friday</v>
      </c>
      <c r="J399" t="str">
        <f>IF(OR(FinanceData[[#This Row],[Day]]="Saturday",FinanceData[[#This Row],[Day]]="Sunday"),"Weekend","Weekday")</f>
        <v>Weekday</v>
      </c>
      <c r="K399">
        <f>YEAR(FinanceData[[#This Row],[Date]])</f>
        <v>2025</v>
      </c>
    </row>
    <row r="400" spans="1:11">
      <c r="A400" s="1">
        <v>45990</v>
      </c>
      <c r="B400" t="s">
        <v>43</v>
      </c>
      <c r="D400" t="s">
        <v>21</v>
      </c>
      <c r="E400" t="s">
        <v>21</v>
      </c>
      <c r="F400" t="s">
        <v>14</v>
      </c>
      <c r="G400">
        <v>8212</v>
      </c>
      <c r="H400" t="s">
        <v>15</v>
      </c>
      <c r="I400" t="str">
        <f>TEXT(FinanceData[[#This Row],[Date]],"dddd")</f>
        <v>Saturday</v>
      </c>
      <c r="J400" t="str">
        <f>IF(OR(FinanceData[[#This Row],[Day]]="Saturday",FinanceData[[#This Row],[Day]]="Sunday"),"Weekend","Weekday")</f>
        <v>Weekend</v>
      </c>
      <c r="K400">
        <f>YEAR(FinanceData[[#This Row],[Date]])</f>
        <v>2025</v>
      </c>
    </row>
    <row r="401" spans="1:11">
      <c r="A401" s="1">
        <v>45991</v>
      </c>
      <c r="B401" t="s">
        <v>43</v>
      </c>
      <c r="D401" t="s">
        <v>25</v>
      </c>
      <c r="E401" t="s">
        <v>25</v>
      </c>
      <c r="F401" t="s">
        <v>14</v>
      </c>
      <c r="G401">
        <v>3979</v>
      </c>
      <c r="H401" t="s">
        <v>12</v>
      </c>
      <c r="I401" t="str">
        <f>TEXT(FinanceData[[#This Row],[Date]],"dddd")</f>
        <v>Sunday</v>
      </c>
      <c r="J401" t="str">
        <f>IF(OR(FinanceData[[#This Row],[Day]]="Saturday",FinanceData[[#This Row],[Day]]="Sunday"),"Weekend","Weekday")</f>
        <v>Weekend</v>
      </c>
      <c r="K401">
        <f>YEAR(FinanceData[[#This Row],[Date]])</f>
        <v>2025</v>
      </c>
    </row>
    <row r="402" spans="1:11">
      <c r="A402" s="1">
        <v>45992</v>
      </c>
      <c r="B402" t="s">
        <v>44</v>
      </c>
      <c r="C402" t="s">
        <v>9</v>
      </c>
      <c r="E402" t="s">
        <v>10</v>
      </c>
      <c r="F402" t="s">
        <v>11</v>
      </c>
      <c r="G402">
        <v>450000</v>
      </c>
      <c r="H402" t="s">
        <v>12</v>
      </c>
      <c r="I402" t="str">
        <f>TEXT(FinanceData[[#This Row],[Date]],"dddd")</f>
        <v>Monday</v>
      </c>
      <c r="J402" t="str">
        <f>IF(OR(FinanceData[[#This Row],[Day]]="Saturday",FinanceData[[#This Row],[Day]]="Sunday"),"Weekend","Weekday")</f>
        <v>Weekday</v>
      </c>
      <c r="K402">
        <f>YEAR(FinanceData[[#This Row],[Date]])</f>
        <v>2025</v>
      </c>
    </row>
    <row r="403" spans="1:11">
      <c r="A403" s="1">
        <v>45992</v>
      </c>
      <c r="B403" t="s">
        <v>44</v>
      </c>
      <c r="D403" t="s">
        <v>16</v>
      </c>
      <c r="E403" t="s">
        <v>16</v>
      </c>
      <c r="F403" t="s">
        <v>14</v>
      </c>
      <c r="G403">
        <v>2257</v>
      </c>
      <c r="H403" t="s">
        <v>19</v>
      </c>
      <c r="I403" t="str">
        <f>TEXT(FinanceData[[#This Row],[Date]],"dddd")</f>
        <v>Monday</v>
      </c>
      <c r="J403" t="str">
        <f>IF(OR(FinanceData[[#This Row],[Day]]="Saturday",FinanceData[[#This Row],[Day]]="Sunday"),"Weekend","Weekday")</f>
        <v>Weekday</v>
      </c>
      <c r="K403">
        <f>YEAR(FinanceData[[#This Row],[Date]])</f>
        <v>2025</v>
      </c>
    </row>
    <row r="404" spans="1:11">
      <c r="A404" s="1">
        <v>45993</v>
      </c>
      <c r="B404" t="s">
        <v>44</v>
      </c>
      <c r="D404" t="s">
        <v>27</v>
      </c>
      <c r="E404" t="s">
        <v>27</v>
      </c>
      <c r="F404" t="s">
        <v>14</v>
      </c>
      <c r="G404">
        <v>15664</v>
      </c>
      <c r="H404" t="s">
        <v>12</v>
      </c>
      <c r="I404" t="str">
        <f>TEXT(FinanceData[[#This Row],[Date]],"dddd")</f>
        <v>Tuesday</v>
      </c>
      <c r="J404" t="str">
        <f>IF(OR(FinanceData[[#This Row],[Day]]="Saturday",FinanceData[[#This Row],[Day]]="Sunday"),"Weekend","Weekday")</f>
        <v>Weekday</v>
      </c>
      <c r="K404">
        <f>YEAR(FinanceData[[#This Row],[Date]])</f>
        <v>2025</v>
      </c>
    </row>
    <row r="405" spans="1:11">
      <c r="A405" s="1">
        <v>45994</v>
      </c>
      <c r="B405" t="s">
        <v>44</v>
      </c>
      <c r="D405" t="s">
        <v>26</v>
      </c>
      <c r="E405" t="s">
        <v>26</v>
      </c>
      <c r="F405" t="s">
        <v>14</v>
      </c>
      <c r="G405">
        <v>5242</v>
      </c>
      <c r="H405" t="s">
        <v>19</v>
      </c>
      <c r="I405" t="str">
        <f>TEXT(FinanceData[[#This Row],[Date]],"dddd")</f>
        <v>Wednesday</v>
      </c>
      <c r="J405" t="str">
        <f>IF(OR(FinanceData[[#This Row],[Day]]="Saturday",FinanceData[[#This Row],[Day]]="Sunday"),"Weekend","Weekday")</f>
        <v>Weekday</v>
      </c>
      <c r="K405">
        <f>YEAR(FinanceData[[#This Row],[Date]])</f>
        <v>2025</v>
      </c>
    </row>
    <row r="406" spans="1:11">
      <c r="A406" s="1">
        <v>45995</v>
      </c>
      <c r="B406" t="s">
        <v>44</v>
      </c>
      <c r="C406" t="s">
        <v>20</v>
      </c>
      <c r="E406" t="s">
        <v>20</v>
      </c>
      <c r="F406" t="s">
        <v>11</v>
      </c>
      <c r="G406">
        <v>62864</v>
      </c>
      <c r="H406" t="s">
        <v>12</v>
      </c>
      <c r="I406" t="str">
        <f>TEXT(FinanceData[[#This Row],[Date]],"dddd")</f>
        <v>Thursday</v>
      </c>
      <c r="J406" t="str">
        <f>IF(OR(FinanceData[[#This Row],[Day]]="Saturday",FinanceData[[#This Row],[Day]]="Sunday"),"Weekend","Weekday")</f>
        <v>Weekday</v>
      </c>
      <c r="K406">
        <f>YEAR(FinanceData[[#This Row],[Date]])</f>
        <v>2025</v>
      </c>
    </row>
    <row r="407" spans="1:11">
      <c r="A407" s="1">
        <v>45995</v>
      </c>
      <c r="B407" t="s">
        <v>44</v>
      </c>
      <c r="D407" t="s">
        <v>32</v>
      </c>
      <c r="E407" t="s">
        <v>32</v>
      </c>
      <c r="F407" t="s">
        <v>14</v>
      </c>
      <c r="G407">
        <v>3035</v>
      </c>
      <c r="H407" t="s">
        <v>24</v>
      </c>
      <c r="I407" t="str">
        <f>TEXT(FinanceData[[#This Row],[Date]],"dddd")</f>
        <v>Thursday</v>
      </c>
      <c r="J407" t="str">
        <f>IF(OR(FinanceData[[#This Row],[Day]]="Saturday",FinanceData[[#This Row],[Day]]="Sunday"),"Weekend","Weekday")</f>
        <v>Weekday</v>
      </c>
      <c r="K407">
        <f>YEAR(FinanceData[[#This Row],[Date]])</f>
        <v>2025</v>
      </c>
    </row>
    <row r="408" spans="1:11">
      <c r="A408" s="1">
        <v>45996</v>
      </c>
      <c r="B408" t="s">
        <v>44</v>
      </c>
      <c r="D408" t="s">
        <v>13</v>
      </c>
      <c r="E408" t="s">
        <v>13</v>
      </c>
      <c r="F408" t="s">
        <v>14</v>
      </c>
      <c r="G408">
        <v>6010</v>
      </c>
      <c r="H408" t="s">
        <v>19</v>
      </c>
      <c r="I408" t="str">
        <f>TEXT(FinanceData[[#This Row],[Date]],"dddd")</f>
        <v>Friday</v>
      </c>
      <c r="J408" t="str">
        <f>IF(OR(FinanceData[[#This Row],[Day]]="Saturday",FinanceData[[#This Row],[Day]]="Sunday"),"Weekend","Weekday")</f>
        <v>Weekday</v>
      </c>
      <c r="K408">
        <f>YEAR(FinanceData[[#This Row],[Date]])</f>
        <v>2025</v>
      </c>
    </row>
    <row r="409" spans="1:11">
      <c r="A409" s="1">
        <v>45997</v>
      </c>
      <c r="B409" t="s">
        <v>44</v>
      </c>
      <c r="D409" t="s">
        <v>18</v>
      </c>
      <c r="E409" t="s">
        <v>18</v>
      </c>
      <c r="F409" t="s">
        <v>14</v>
      </c>
      <c r="G409">
        <v>7293</v>
      </c>
      <c r="H409" t="s">
        <v>15</v>
      </c>
      <c r="I409" t="str">
        <f>TEXT(FinanceData[[#This Row],[Date]],"dddd")</f>
        <v>Saturday</v>
      </c>
      <c r="J409" t="str">
        <f>IF(OR(FinanceData[[#This Row],[Day]]="Saturday",FinanceData[[#This Row],[Day]]="Sunday"),"Weekend","Weekday")</f>
        <v>Weekend</v>
      </c>
      <c r="K409">
        <f>YEAR(FinanceData[[#This Row],[Date]])</f>
        <v>2025</v>
      </c>
    </row>
    <row r="410" spans="1:11">
      <c r="A410" s="1">
        <v>45998</v>
      </c>
      <c r="B410" t="s">
        <v>44</v>
      </c>
      <c r="C410" t="s">
        <v>28</v>
      </c>
      <c r="E410" t="s">
        <v>28</v>
      </c>
      <c r="F410" t="s">
        <v>11</v>
      </c>
      <c r="G410">
        <v>70044</v>
      </c>
      <c r="H410" t="s">
        <v>12</v>
      </c>
      <c r="I410" t="str">
        <f>TEXT(FinanceData[[#This Row],[Date]],"dddd")</f>
        <v>Sunday</v>
      </c>
      <c r="J410" t="str">
        <f>IF(OR(FinanceData[[#This Row],[Day]]="Saturday",FinanceData[[#This Row],[Day]]="Sunday"),"Weekend","Weekday")</f>
        <v>Weekend</v>
      </c>
      <c r="K410">
        <f>YEAR(FinanceData[[#This Row],[Date]])</f>
        <v>2025</v>
      </c>
    </row>
    <row r="411" spans="1:11">
      <c r="A411" s="1">
        <v>45998</v>
      </c>
      <c r="B411" t="s">
        <v>44</v>
      </c>
      <c r="D411" t="s">
        <v>16</v>
      </c>
      <c r="E411" t="s">
        <v>16</v>
      </c>
      <c r="F411" t="s">
        <v>14</v>
      </c>
      <c r="G411">
        <v>4249</v>
      </c>
      <c r="H411" t="s">
        <v>24</v>
      </c>
      <c r="I411" t="str">
        <f>TEXT(FinanceData[[#This Row],[Date]],"dddd")</f>
        <v>Sunday</v>
      </c>
      <c r="J411" t="str">
        <f>IF(OR(FinanceData[[#This Row],[Day]]="Saturday",FinanceData[[#This Row],[Day]]="Sunday"),"Weekend","Weekday")</f>
        <v>Weekend</v>
      </c>
      <c r="K411">
        <f>YEAR(FinanceData[[#This Row],[Date]])</f>
        <v>2025</v>
      </c>
    </row>
    <row r="412" spans="1:11">
      <c r="A412" s="1">
        <v>45999</v>
      </c>
      <c r="B412" t="s">
        <v>44</v>
      </c>
      <c r="D412" t="s">
        <v>25</v>
      </c>
      <c r="E412" t="s">
        <v>25</v>
      </c>
      <c r="F412" t="s">
        <v>14</v>
      </c>
      <c r="G412">
        <v>3216</v>
      </c>
      <c r="H412" t="s">
        <v>15</v>
      </c>
      <c r="I412" t="str">
        <f>TEXT(FinanceData[[#This Row],[Date]],"dddd")</f>
        <v>Monday</v>
      </c>
      <c r="J412" t="str">
        <f>IF(OR(FinanceData[[#This Row],[Day]]="Saturday",FinanceData[[#This Row],[Day]]="Sunday"),"Weekend","Weekday")</f>
        <v>Weekday</v>
      </c>
      <c r="K412">
        <f>YEAR(FinanceData[[#This Row],[Date]])</f>
        <v>2025</v>
      </c>
    </row>
    <row r="413" spans="1:11">
      <c r="A413" s="1">
        <v>46000</v>
      </c>
      <c r="B413" t="s">
        <v>44</v>
      </c>
      <c r="D413" t="s">
        <v>29</v>
      </c>
      <c r="E413" t="s">
        <v>29</v>
      </c>
      <c r="F413" t="s">
        <v>14</v>
      </c>
      <c r="G413">
        <v>8872</v>
      </c>
      <c r="H413" t="s">
        <v>19</v>
      </c>
      <c r="I413" t="str">
        <f>TEXT(FinanceData[[#This Row],[Date]],"dddd")</f>
        <v>Tuesday</v>
      </c>
      <c r="J413" t="str">
        <f>IF(OR(FinanceData[[#This Row],[Day]]="Saturday",FinanceData[[#This Row],[Day]]="Sunday"),"Weekend","Weekday")</f>
        <v>Weekday</v>
      </c>
      <c r="K413">
        <f>YEAR(FinanceData[[#This Row],[Date]])</f>
        <v>2025</v>
      </c>
    </row>
    <row r="414" spans="1:11">
      <c r="A414" s="1">
        <v>46001</v>
      </c>
      <c r="B414" t="s">
        <v>44</v>
      </c>
      <c r="C414" t="s">
        <v>31</v>
      </c>
      <c r="E414" t="s">
        <v>31</v>
      </c>
      <c r="F414" t="s">
        <v>11</v>
      </c>
      <c r="G414">
        <v>103777</v>
      </c>
      <c r="H414" t="s">
        <v>12</v>
      </c>
      <c r="I414" t="str">
        <f>TEXT(FinanceData[[#This Row],[Date]],"dddd")</f>
        <v>Wednesday</v>
      </c>
      <c r="J414" t="str">
        <f>IF(OR(FinanceData[[#This Row],[Day]]="Saturday",FinanceData[[#This Row],[Day]]="Sunday"),"Weekend","Weekday")</f>
        <v>Weekday</v>
      </c>
      <c r="K414">
        <f>YEAR(FinanceData[[#This Row],[Date]])</f>
        <v>2025</v>
      </c>
    </row>
    <row r="415" spans="1:11">
      <c r="A415" s="1">
        <v>46001</v>
      </c>
      <c r="B415" t="s">
        <v>44</v>
      </c>
      <c r="D415" t="s">
        <v>34</v>
      </c>
      <c r="E415" t="s">
        <v>34</v>
      </c>
      <c r="F415" t="s">
        <v>14</v>
      </c>
      <c r="G415">
        <v>18319</v>
      </c>
      <c r="H415" t="s">
        <v>15</v>
      </c>
      <c r="I415" t="str">
        <f>TEXT(FinanceData[[#This Row],[Date]],"dddd")</f>
        <v>Wednesday</v>
      </c>
      <c r="J415" t="str">
        <f>IF(OR(FinanceData[[#This Row],[Day]]="Saturday",FinanceData[[#This Row],[Day]]="Sunday"),"Weekend","Weekday")</f>
        <v>Weekday</v>
      </c>
      <c r="K415">
        <f>YEAR(FinanceData[[#This Row],[Date]])</f>
        <v>2025</v>
      </c>
    </row>
    <row r="416" spans="1:11">
      <c r="A416" s="1">
        <v>46002</v>
      </c>
      <c r="B416" t="s">
        <v>44</v>
      </c>
      <c r="D416" t="s">
        <v>17</v>
      </c>
      <c r="E416" t="s">
        <v>17</v>
      </c>
      <c r="F416" t="s">
        <v>14</v>
      </c>
      <c r="G416">
        <v>8175</v>
      </c>
      <c r="H416" t="s">
        <v>24</v>
      </c>
      <c r="I416" t="str">
        <f>TEXT(FinanceData[[#This Row],[Date]],"dddd")</f>
        <v>Thursday</v>
      </c>
      <c r="J416" t="str">
        <f>IF(OR(FinanceData[[#This Row],[Day]]="Saturday",FinanceData[[#This Row],[Day]]="Sunday"),"Weekend","Weekday")</f>
        <v>Weekday</v>
      </c>
      <c r="K416">
        <f>YEAR(FinanceData[[#This Row],[Date]])</f>
        <v>2025</v>
      </c>
    </row>
    <row r="417" spans="1:11">
      <c r="A417" s="1">
        <v>46003</v>
      </c>
      <c r="B417" t="s">
        <v>44</v>
      </c>
      <c r="D417" t="s">
        <v>26</v>
      </c>
      <c r="E417" t="s">
        <v>26</v>
      </c>
      <c r="F417" t="s">
        <v>14</v>
      </c>
      <c r="G417">
        <v>19658</v>
      </c>
      <c r="H417" t="s">
        <v>19</v>
      </c>
      <c r="I417" t="str">
        <f>TEXT(FinanceData[[#This Row],[Date]],"dddd")</f>
        <v>Friday</v>
      </c>
      <c r="J417" t="str">
        <f>IF(OR(FinanceData[[#This Row],[Day]]="Saturday",FinanceData[[#This Row],[Day]]="Sunday"),"Weekend","Weekday")</f>
        <v>Weekday</v>
      </c>
      <c r="K417">
        <f>YEAR(FinanceData[[#This Row],[Date]])</f>
        <v>2025</v>
      </c>
    </row>
    <row r="418" spans="1:11">
      <c r="A418" s="1">
        <v>46004</v>
      </c>
      <c r="B418" t="s">
        <v>44</v>
      </c>
      <c r="D418" t="s">
        <v>29</v>
      </c>
      <c r="E418" t="s">
        <v>29</v>
      </c>
      <c r="F418" t="s">
        <v>14</v>
      </c>
      <c r="G418">
        <v>6259</v>
      </c>
      <c r="H418" t="s">
        <v>19</v>
      </c>
      <c r="I418" t="str">
        <f>TEXT(FinanceData[[#This Row],[Date]],"dddd")</f>
        <v>Saturday</v>
      </c>
      <c r="J418" t="str">
        <f>IF(OR(FinanceData[[#This Row],[Day]]="Saturday",FinanceData[[#This Row],[Day]]="Sunday"),"Weekend","Weekday")</f>
        <v>Weekend</v>
      </c>
      <c r="K418">
        <f>YEAR(FinanceData[[#This Row],[Date]])</f>
        <v>2025</v>
      </c>
    </row>
    <row r="419" spans="1:11">
      <c r="A419" s="1">
        <v>46005</v>
      </c>
      <c r="B419" t="s">
        <v>44</v>
      </c>
      <c r="D419" t="s">
        <v>21</v>
      </c>
      <c r="E419" t="s">
        <v>21</v>
      </c>
      <c r="F419" t="s">
        <v>14</v>
      </c>
      <c r="G419">
        <v>8189</v>
      </c>
      <c r="H419" t="s">
        <v>19</v>
      </c>
      <c r="I419" t="str">
        <f>TEXT(FinanceData[[#This Row],[Date]],"dddd")</f>
        <v>Sunday</v>
      </c>
      <c r="J419" t="str">
        <f>IF(OR(FinanceData[[#This Row],[Day]]="Saturday",FinanceData[[#This Row],[Day]]="Sunday"),"Weekend","Weekday")</f>
        <v>Weekend</v>
      </c>
      <c r="K419">
        <f>YEAR(FinanceData[[#This Row],[Date]])</f>
        <v>2025</v>
      </c>
    </row>
    <row r="420" spans="1:11">
      <c r="A420" s="1">
        <v>46006</v>
      </c>
      <c r="B420" t="s">
        <v>44</v>
      </c>
      <c r="C420" t="s">
        <v>31</v>
      </c>
      <c r="E420" t="s">
        <v>31</v>
      </c>
      <c r="F420" t="s">
        <v>11</v>
      </c>
      <c r="G420">
        <v>149202</v>
      </c>
      <c r="H420" t="s">
        <v>12</v>
      </c>
      <c r="I420" t="str">
        <f>TEXT(FinanceData[[#This Row],[Date]],"dddd")</f>
        <v>Monday</v>
      </c>
      <c r="J420" t="str">
        <f>IF(OR(FinanceData[[#This Row],[Day]]="Saturday",FinanceData[[#This Row],[Day]]="Sunday"),"Weekend","Weekday")</f>
        <v>Weekday</v>
      </c>
      <c r="K420">
        <f>YEAR(FinanceData[[#This Row],[Date]])</f>
        <v>2025</v>
      </c>
    </row>
    <row r="421" spans="1:11">
      <c r="A421" s="1">
        <v>46006</v>
      </c>
      <c r="B421" t="s">
        <v>44</v>
      </c>
      <c r="D421" t="s">
        <v>22</v>
      </c>
      <c r="E421" t="s">
        <v>22</v>
      </c>
      <c r="F421" t="s">
        <v>14</v>
      </c>
      <c r="G421">
        <v>71825</v>
      </c>
      <c r="H421" t="s">
        <v>15</v>
      </c>
      <c r="I421" t="str">
        <f>TEXT(FinanceData[[#This Row],[Date]],"dddd")</f>
        <v>Monday</v>
      </c>
      <c r="J421" t="str">
        <f>IF(OR(FinanceData[[#This Row],[Day]]="Saturday",FinanceData[[#This Row],[Day]]="Sunday"),"Weekend","Weekday")</f>
        <v>Weekday</v>
      </c>
      <c r="K421">
        <f>YEAR(FinanceData[[#This Row],[Date]])</f>
        <v>2025</v>
      </c>
    </row>
    <row r="422" spans="1:11">
      <c r="A422" s="1">
        <v>46007</v>
      </c>
      <c r="B422" t="s">
        <v>44</v>
      </c>
      <c r="D422" t="s">
        <v>26</v>
      </c>
      <c r="E422" t="s">
        <v>26</v>
      </c>
      <c r="F422" t="s">
        <v>14</v>
      </c>
      <c r="G422">
        <v>18408</v>
      </c>
      <c r="H422" t="s">
        <v>19</v>
      </c>
      <c r="I422" t="str">
        <f>TEXT(FinanceData[[#This Row],[Date]],"dddd")</f>
        <v>Tuesday</v>
      </c>
      <c r="J422" t="str">
        <f>IF(OR(FinanceData[[#This Row],[Day]]="Saturday",FinanceData[[#This Row],[Day]]="Sunday"),"Weekend","Weekday")</f>
        <v>Weekday</v>
      </c>
      <c r="K422">
        <f>YEAR(FinanceData[[#This Row],[Date]])</f>
        <v>2025</v>
      </c>
    </row>
    <row r="423" spans="1:11">
      <c r="A423" s="1">
        <v>46008</v>
      </c>
      <c r="B423" t="s">
        <v>44</v>
      </c>
      <c r="D423" t="s">
        <v>25</v>
      </c>
      <c r="E423" t="s">
        <v>25</v>
      </c>
      <c r="F423" t="s">
        <v>14</v>
      </c>
      <c r="G423">
        <v>5359</v>
      </c>
      <c r="H423" t="s">
        <v>15</v>
      </c>
      <c r="I423" t="str">
        <f>TEXT(FinanceData[[#This Row],[Date]],"dddd")</f>
        <v>Wednesday</v>
      </c>
      <c r="J423" t="str">
        <f>IF(OR(FinanceData[[#This Row],[Day]]="Saturday",FinanceData[[#This Row],[Day]]="Sunday"),"Weekend","Weekday")</f>
        <v>Weekday</v>
      </c>
      <c r="K423">
        <f>YEAR(FinanceData[[#This Row],[Date]])</f>
        <v>2025</v>
      </c>
    </row>
    <row r="424" spans="1:11">
      <c r="A424" s="1">
        <v>46009</v>
      </c>
      <c r="B424" t="s">
        <v>44</v>
      </c>
      <c r="D424" t="s">
        <v>22</v>
      </c>
      <c r="E424" t="s">
        <v>22</v>
      </c>
      <c r="F424" t="s">
        <v>14</v>
      </c>
      <c r="G424">
        <v>62232</v>
      </c>
      <c r="H424" t="s">
        <v>15</v>
      </c>
      <c r="I424" t="str">
        <f>TEXT(FinanceData[[#This Row],[Date]],"dddd")</f>
        <v>Thursday</v>
      </c>
      <c r="J424" t="str">
        <f>IF(OR(FinanceData[[#This Row],[Day]]="Saturday",FinanceData[[#This Row],[Day]]="Sunday"),"Weekend","Weekday")</f>
        <v>Weekday</v>
      </c>
      <c r="K424">
        <f>YEAR(FinanceData[[#This Row],[Date]])</f>
        <v>2025</v>
      </c>
    </row>
    <row r="425" spans="1:11">
      <c r="A425" s="1">
        <v>46010</v>
      </c>
      <c r="B425" t="s">
        <v>44</v>
      </c>
      <c r="D425" t="s">
        <v>30</v>
      </c>
      <c r="E425" t="s">
        <v>30</v>
      </c>
      <c r="F425" t="s">
        <v>14</v>
      </c>
      <c r="G425">
        <v>2363</v>
      </c>
      <c r="H425" t="s">
        <v>12</v>
      </c>
      <c r="I425" t="str">
        <f>TEXT(FinanceData[[#This Row],[Date]],"dddd")</f>
        <v>Friday</v>
      </c>
      <c r="J425" t="str">
        <f>IF(OR(FinanceData[[#This Row],[Day]]="Saturday",FinanceData[[#This Row],[Day]]="Sunday"),"Weekend","Weekday")</f>
        <v>Weekday</v>
      </c>
      <c r="K425">
        <f>YEAR(FinanceData[[#This Row],[Date]])</f>
        <v>2025</v>
      </c>
    </row>
    <row r="426" spans="1:11">
      <c r="A426" s="1">
        <v>46011</v>
      </c>
      <c r="B426" t="s">
        <v>44</v>
      </c>
      <c r="D426" t="s">
        <v>25</v>
      </c>
      <c r="E426" t="s">
        <v>25</v>
      </c>
      <c r="F426" t="s">
        <v>14</v>
      </c>
      <c r="G426">
        <v>6254</v>
      </c>
      <c r="H426" t="s">
        <v>12</v>
      </c>
      <c r="I426" t="str">
        <f>TEXT(FinanceData[[#This Row],[Date]],"dddd")</f>
        <v>Saturday</v>
      </c>
      <c r="J426" t="str">
        <f>IF(OR(FinanceData[[#This Row],[Day]]="Saturday",FinanceData[[#This Row],[Day]]="Sunday"),"Weekend","Weekday")</f>
        <v>Weekend</v>
      </c>
      <c r="K426">
        <f>YEAR(FinanceData[[#This Row],[Date]])</f>
        <v>2025</v>
      </c>
    </row>
    <row r="427" spans="1:11">
      <c r="A427" s="1">
        <v>46012</v>
      </c>
      <c r="B427" t="s">
        <v>44</v>
      </c>
      <c r="D427" t="s">
        <v>21</v>
      </c>
      <c r="E427" t="s">
        <v>21</v>
      </c>
      <c r="F427" t="s">
        <v>14</v>
      </c>
      <c r="G427">
        <v>4332</v>
      </c>
      <c r="H427" t="s">
        <v>12</v>
      </c>
      <c r="I427" t="str">
        <f>TEXT(FinanceData[[#This Row],[Date]],"dddd")</f>
        <v>Sunday</v>
      </c>
      <c r="J427" t="str">
        <f>IF(OR(FinanceData[[#This Row],[Day]]="Saturday",FinanceData[[#This Row],[Day]]="Sunday"),"Weekend","Weekday")</f>
        <v>Weekend</v>
      </c>
      <c r="K427">
        <f>YEAR(FinanceData[[#This Row],[Date]])</f>
        <v>2025</v>
      </c>
    </row>
    <row r="428" spans="1:11">
      <c r="A428" s="1">
        <v>46013</v>
      </c>
      <c r="B428" t="s">
        <v>44</v>
      </c>
      <c r="D428" t="s">
        <v>34</v>
      </c>
      <c r="E428" t="s">
        <v>34</v>
      </c>
      <c r="F428" t="s">
        <v>14</v>
      </c>
      <c r="G428">
        <v>11982</v>
      </c>
      <c r="H428" t="s">
        <v>12</v>
      </c>
      <c r="I428" t="str">
        <f>TEXT(FinanceData[[#This Row],[Date]],"dddd")</f>
        <v>Monday</v>
      </c>
      <c r="J428" t="str">
        <f>IF(OR(FinanceData[[#This Row],[Day]]="Saturday",FinanceData[[#This Row],[Day]]="Sunday"),"Weekend","Weekday")</f>
        <v>Weekday</v>
      </c>
      <c r="K428">
        <f>YEAR(FinanceData[[#This Row],[Date]])</f>
        <v>2025</v>
      </c>
    </row>
    <row r="429" spans="1:11">
      <c r="A429" s="1">
        <v>46014</v>
      </c>
      <c r="B429" t="s">
        <v>44</v>
      </c>
      <c r="D429" t="s">
        <v>18</v>
      </c>
      <c r="E429" t="s">
        <v>18</v>
      </c>
      <c r="F429" t="s">
        <v>14</v>
      </c>
      <c r="G429">
        <v>5040</v>
      </c>
      <c r="H429" t="s">
        <v>24</v>
      </c>
      <c r="I429" t="str">
        <f>TEXT(FinanceData[[#This Row],[Date]],"dddd")</f>
        <v>Tuesday</v>
      </c>
      <c r="J429" t="str">
        <f>IF(OR(FinanceData[[#This Row],[Day]]="Saturday",FinanceData[[#This Row],[Day]]="Sunday"),"Weekend","Weekday")</f>
        <v>Weekday</v>
      </c>
      <c r="K429">
        <f>YEAR(FinanceData[[#This Row],[Date]])</f>
        <v>2025</v>
      </c>
    </row>
    <row r="430" spans="1:11">
      <c r="A430" s="1">
        <v>46015</v>
      </c>
      <c r="B430" t="s">
        <v>44</v>
      </c>
      <c r="D430" t="s">
        <v>29</v>
      </c>
      <c r="E430" t="s">
        <v>29</v>
      </c>
      <c r="F430" t="s">
        <v>14</v>
      </c>
      <c r="G430">
        <v>6195</v>
      </c>
      <c r="H430" t="s">
        <v>19</v>
      </c>
      <c r="I430" t="str">
        <f>TEXT(FinanceData[[#This Row],[Date]],"dddd")</f>
        <v>Wednesday</v>
      </c>
      <c r="J430" t="str">
        <f>IF(OR(FinanceData[[#This Row],[Day]]="Saturday",FinanceData[[#This Row],[Day]]="Sunday"),"Weekend","Weekday")</f>
        <v>Weekday</v>
      </c>
      <c r="K430">
        <f>YEAR(FinanceData[[#This Row],[Date]])</f>
        <v>2025</v>
      </c>
    </row>
    <row r="431" spans="1:11">
      <c r="A431" s="1">
        <v>46016</v>
      </c>
      <c r="B431" t="s">
        <v>44</v>
      </c>
      <c r="D431" t="s">
        <v>29</v>
      </c>
      <c r="E431" t="s">
        <v>29</v>
      </c>
      <c r="F431" t="s">
        <v>14</v>
      </c>
      <c r="G431">
        <v>5241</v>
      </c>
      <c r="H431" t="s">
        <v>15</v>
      </c>
      <c r="I431" t="str">
        <f>TEXT(FinanceData[[#This Row],[Date]],"dddd")</f>
        <v>Thursday</v>
      </c>
      <c r="J431" t="str">
        <f>IF(OR(FinanceData[[#This Row],[Day]]="Saturday",FinanceData[[#This Row],[Day]]="Sunday"),"Weekend","Weekday")</f>
        <v>Weekday</v>
      </c>
      <c r="K431">
        <f>YEAR(FinanceData[[#This Row],[Date]])</f>
        <v>2025</v>
      </c>
    </row>
    <row r="432" spans="1:11">
      <c r="A432" s="1">
        <v>46017</v>
      </c>
      <c r="B432" t="s">
        <v>44</v>
      </c>
      <c r="D432" t="s">
        <v>30</v>
      </c>
      <c r="E432" t="s">
        <v>30</v>
      </c>
      <c r="F432" t="s">
        <v>14</v>
      </c>
      <c r="G432">
        <v>4922</v>
      </c>
      <c r="H432" t="s">
        <v>24</v>
      </c>
      <c r="I432" t="str">
        <f>TEXT(FinanceData[[#This Row],[Date]],"dddd")</f>
        <v>Friday</v>
      </c>
      <c r="J432" t="str">
        <f>IF(OR(FinanceData[[#This Row],[Day]]="Saturday",FinanceData[[#This Row],[Day]]="Sunday"),"Weekend","Weekday")</f>
        <v>Weekday</v>
      </c>
      <c r="K432">
        <f>YEAR(FinanceData[[#This Row],[Date]])</f>
        <v>2025</v>
      </c>
    </row>
    <row r="433" spans="1:11">
      <c r="A433" s="1">
        <v>46018</v>
      </c>
      <c r="B433" t="s">
        <v>44</v>
      </c>
      <c r="D433" t="s">
        <v>26</v>
      </c>
      <c r="E433" t="s">
        <v>26</v>
      </c>
      <c r="F433" t="s">
        <v>14</v>
      </c>
      <c r="G433">
        <v>7059</v>
      </c>
      <c r="H433" t="s">
        <v>15</v>
      </c>
      <c r="I433" t="str">
        <f>TEXT(FinanceData[[#This Row],[Date]],"dddd")</f>
        <v>Saturday</v>
      </c>
      <c r="J433" t="str">
        <f>IF(OR(FinanceData[[#This Row],[Day]]="Saturday",FinanceData[[#This Row],[Day]]="Sunday"),"Weekend","Weekday")</f>
        <v>Weekend</v>
      </c>
      <c r="K433">
        <f>YEAR(FinanceData[[#This Row],[Date]])</f>
        <v>2025</v>
      </c>
    </row>
    <row r="434" spans="1:11">
      <c r="A434" s="1">
        <v>46019</v>
      </c>
      <c r="B434" t="s">
        <v>44</v>
      </c>
      <c r="D434" t="s">
        <v>32</v>
      </c>
      <c r="E434" t="s">
        <v>32</v>
      </c>
      <c r="F434" t="s">
        <v>14</v>
      </c>
      <c r="G434">
        <v>2175</v>
      </c>
      <c r="H434" t="s">
        <v>19</v>
      </c>
      <c r="I434" t="str">
        <f>TEXT(FinanceData[[#This Row],[Date]],"dddd")</f>
        <v>Sunday</v>
      </c>
      <c r="J434" t="str">
        <f>IF(OR(FinanceData[[#This Row],[Day]]="Saturday",FinanceData[[#This Row],[Day]]="Sunday"),"Weekend","Weekday")</f>
        <v>Weekend</v>
      </c>
      <c r="K434">
        <f>YEAR(FinanceData[[#This Row],[Date]])</f>
        <v>2025</v>
      </c>
    </row>
    <row r="435" spans="1:11">
      <c r="A435" s="1">
        <v>46020</v>
      </c>
      <c r="B435" t="s">
        <v>44</v>
      </c>
      <c r="D435" t="s">
        <v>25</v>
      </c>
      <c r="E435" t="s">
        <v>25</v>
      </c>
      <c r="F435" t="s">
        <v>14</v>
      </c>
      <c r="G435">
        <v>2808</v>
      </c>
      <c r="H435" t="s">
        <v>19</v>
      </c>
      <c r="I435" t="str">
        <f>TEXT(FinanceData[[#This Row],[Date]],"dddd")</f>
        <v>Monday</v>
      </c>
      <c r="J435" t="str">
        <f>IF(OR(FinanceData[[#This Row],[Day]]="Saturday",FinanceData[[#This Row],[Day]]="Sunday"),"Weekend","Weekday")</f>
        <v>Weekday</v>
      </c>
      <c r="K435">
        <f>YEAR(FinanceData[[#This Row],[Date]])</f>
        <v>2025</v>
      </c>
    </row>
    <row r="436" spans="1:11">
      <c r="A436" s="1">
        <v>46021</v>
      </c>
      <c r="B436" t="s">
        <v>44</v>
      </c>
      <c r="D436" t="s">
        <v>34</v>
      </c>
      <c r="E436" t="s">
        <v>34</v>
      </c>
      <c r="F436" t="s">
        <v>14</v>
      </c>
      <c r="G436">
        <v>16797</v>
      </c>
      <c r="H436" t="s">
        <v>19</v>
      </c>
      <c r="I436" t="str">
        <f>TEXT(FinanceData[[#This Row],[Date]],"dddd")</f>
        <v>Tuesday</v>
      </c>
      <c r="J436" t="str">
        <f>IF(OR(FinanceData[[#This Row],[Day]]="Saturday",FinanceData[[#This Row],[Day]]="Sunday"),"Weekend","Weekday")</f>
        <v>Weekday</v>
      </c>
      <c r="K436">
        <f>YEAR(FinanceData[[#This Row],[Date]])</f>
        <v>2025</v>
      </c>
    </row>
    <row r="437" spans="1:11">
      <c r="A437" s="1">
        <v>46022</v>
      </c>
      <c r="B437" t="s">
        <v>44</v>
      </c>
      <c r="D437" t="s">
        <v>26</v>
      </c>
      <c r="E437" t="s">
        <v>26</v>
      </c>
      <c r="F437" t="s">
        <v>14</v>
      </c>
      <c r="G437">
        <v>23013</v>
      </c>
      <c r="H437" t="s">
        <v>12</v>
      </c>
      <c r="I437" t="str">
        <f>TEXT(FinanceData[[#This Row],[Date]],"dddd")</f>
        <v>Wednesday</v>
      </c>
      <c r="J437" t="str">
        <f>IF(OR(FinanceData[[#This Row],[Day]]="Saturday",FinanceData[[#This Row],[Day]]="Sunday"),"Weekend","Weekday")</f>
        <v>Weekday</v>
      </c>
      <c r="K437">
        <f>YEAR(FinanceData[[#This Row],[Date]])</f>
        <v>2025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F1CCE-E8BE-4773-9B8C-80BE2FAAB3D0}">
  <dimension ref="A1:J60"/>
  <sheetViews>
    <sheetView topLeftCell="A35" zoomScale="90" zoomScaleNormal="90" workbookViewId="0">
      <selection activeCell="K4" sqref="K4"/>
    </sheetView>
  </sheetViews>
  <sheetFormatPr defaultRowHeight="15"/>
  <cols>
    <col min="1" max="1" width="13.28515625" bestFit="1" customWidth="1"/>
    <col min="2" max="2" width="18.28515625" bestFit="1" customWidth="1"/>
    <col min="5" max="5" width="13.28515625" bestFit="1" customWidth="1"/>
    <col min="6" max="7" width="18.28515625" bestFit="1" customWidth="1"/>
    <col min="9" max="9" width="14" bestFit="1" customWidth="1"/>
    <col min="10" max="10" width="18.28515625" bestFit="1" customWidth="1"/>
  </cols>
  <sheetData>
    <row r="1" spans="1:10">
      <c r="A1" s="2" t="s">
        <v>5</v>
      </c>
      <c r="B1" t="s">
        <v>11</v>
      </c>
    </row>
    <row r="3" spans="1:10">
      <c r="A3" s="2" t="s">
        <v>49</v>
      </c>
      <c r="B3" t="s">
        <v>51</v>
      </c>
    </row>
    <row r="4" spans="1:10">
      <c r="A4" s="3" t="s">
        <v>8</v>
      </c>
      <c r="B4">
        <v>1276185</v>
      </c>
    </row>
    <row r="5" spans="1:10">
      <c r="A5" s="3" t="s">
        <v>33</v>
      </c>
      <c r="B5">
        <v>674010</v>
      </c>
      <c r="I5" s="2" t="s">
        <v>5</v>
      </c>
      <c r="J5" t="s">
        <v>14</v>
      </c>
    </row>
    <row r="6" spans="1:10">
      <c r="A6" s="3" t="s">
        <v>35</v>
      </c>
      <c r="B6">
        <v>1056643</v>
      </c>
    </row>
    <row r="7" spans="1:10">
      <c r="A7" s="3" t="s">
        <v>36</v>
      </c>
      <c r="B7">
        <v>858903</v>
      </c>
      <c r="I7" s="2" t="s">
        <v>49</v>
      </c>
      <c r="J7" t="s">
        <v>51</v>
      </c>
    </row>
    <row r="8" spans="1:10">
      <c r="A8" s="3" t="s">
        <v>37</v>
      </c>
      <c r="B8">
        <v>884698</v>
      </c>
      <c r="I8" s="3" t="s">
        <v>21</v>
      </c>
      <c r="J8">
        <v>145828</v>
      </c>
    </row>
    <row r="9" spans="1:10">
      <c r="A9" s="3" t="s">
        <v>38</v>
      </c>
      <c r="B9">
        <v>1310894</v>
      </c>
      <c r="I9" s="3" t="s">
        <v>26</v>
      </c>
      <c r="J9">
        <v>417849</v>
      </c>
    </row>
    <row r="10" spans="1:10">
      <c r="A10" s="3" t="s">
        <v>39</v>
      </c>
      <c r="B10">
        <v>1175493</v>
      </c>
      <c r="I10" s="3" t="s">
        <v>25</v>
      </c>
      <c r="J10">
        <v>137469</v>
      </c>
    </row>
    <row r="11" spans="1:10">
      <c r="A11" s="3" t="s">
        <v>40</v>
      </c>
      <c r="B11">
        <v>996860</v>
      </c>
      <c r="I11" s="3" t="s">
        <v>29</v>
      </c>
      <c r="J11">
        <v>203518</v>
      </c>
    </row>
    <row r="12" spans="1:10">
      <c r="A12" s="3" t="s">
        <v>41</v>
      </c>
      <c r="B12">
        <v>887682</v>
      </c>
      <c r="I12" s="3" t="s">
        <v>17</v>
      </c>
      <c r="J12">
        <v>209726</v>
      </c>
    </row>
    <row r="13" spans="1:10">
      <c r="A13" s="3" t="s">
        <v>42</v>
      </c>
      <c r="B13">
        <v>662427</v>
      </c>
      <c r="I13" s="3" t="s">
        <v>18</v>
      </c>
      <c r="J13">
        <v>159786</v>
      </c>
    </row>
    <row r="14" spans="1:10">
      <c r="A14" s="3" t="s">
        <v>43</v>
      </c>
      <c r="B14">
        <v>1220418</v>
      </c>
      <c r="F14" s="2" t="s">
        <v>5</v>
      </c>
      <c r="G14" t="s">
        <v>14</v>
      </c>
      <c r="I14" s="3" t="s">
        <v>27</v>
      </c>
      <c r="J14">
        <v>364439</v>
      </c>
    </row>
    <row r="15" spans="1:10">
      <c r="A15" s="3" t="s">
        <v>44</v>
      </c>
      <c r="B15">
        <v>835887</v>
      </c>
      <c r="I15" s="3" t="s">
        <v>22</v>
      </c>
      <c r="J15">
        <v>2915193</v>
      </c>
    </row>
    <row r="16" spans="1:10">
      <c r="A16" s="3" t="s">
        <v>50</v>
      </c>
      <c r="B16">
        <v>11840100</v>
      </c>
      <c r="F16" s="2" t="s">
        <v>49</v>
      </c>
      <c r="G16" t="s">
        <v>51</v>
      </c>
      <c r="I16" s="3" t="s">
        <v>34</v>
      </c>
      <c r="J16">
        <v>353804</v>
      </c>
    </row>
    <row r="17" spans="1:10">
      <c r="F17" s="3" t="s">
        <v>15</v>
      </c>
      <c r="G17">
        <v>1505495</v>
      </c>
      <c r="I17" s="3" t="s">
        <v>13</v>
      </c>
      <c r="J17">
        <v>156628</v>
      </c>
    </row>
    <row r="18" spans="1:10">
      <c r="A18" s="2" t="s">
        <v>5</v>
      </c>
      <c r="B18" t="s">
        <v>14</v>
      </c>
      <c r="F18" s="3" t="s">
        <v>24</v>
      </c>
      <c r="G18">
        <v>1128270</v>
      </c>
      <c r="I18" s="3" t="s">
        <v>50</v>
      </c>
      <c r="J18">
        <v>5064240</v>
      </c>
    </row>
    <row r="19" spans="1:10">
      <c r="F19" s="3" t="s">
        <v>19</v>
      </c>
      <c r="G19">
        <v>1535930</v>
      </c>
    </row>
    <row r="20" spans="1:10">
      <c r="A20" s="2" t="s">
        <v>49</v>
      </c>
      <c r="B20" t="s">
        <v>51</v>
      </c>
      <c r="F20" s="3" t="s">
        <v>12</v>
      </c>
      <c r="G20">
        <v>1167496</v>
      </c>
    </row>
    <row r="21" spans="1:10">
      <c r="A21" s="3" t="s">
        <v>8</v>
      </c>
      <c r="B21">
        <v>518221</v>
      </c>
      <c r="F21" s="3" t="s">
        <v>50</v>
      </c>
      <c r="G21">
        <v>5337191</v>
      </c>
    </row>
    <row r="22" spans="1:10">
      <c r="A22" s="3" t="s">
        <v>33</v>
      </c>
      <c r="B22">
        <v>488127</v>
      </c>
    </row>
    <row r="23" spans="1:10">
      <c r="A23" s="3" t="s">
        <v>35</v>
      </c>
      <c r="B23">
        <v>418352</v>
      </c>
    </row>
    <row r="24" spans="1:10">
      <c r="A24" s="3" t="s">
        <v>36</v>
      </c>
      <c r="B24">
        <v>309105</v>
      </c>
    </row>
    <row r="25" spans="1:10">
      <c r="A25" s="3" t="s">
        <v>37</v>
      </c>
      <c r="B25">
        <v>443432</v>
      </c>
      <c r="E25" s="2" t="s">
        <v>5</v>
      </c>
      <c r="F25" t="s">
        <v>11</v>
      </c>
      <c r="I25" s="2" t="s">
        <v>5</v>
      </c>
      <c r="J25" t="s">
        <v>14</v>
      </c>
    </row>
    <row r="26" spans="1:10">
      <c r="A26" s="3" t="s">
        <v>38</v>
      </c>
      <c r="B26">
        <v>584916</v>
      </c>
    </row>
    <row r="27" spans="1:10">
      <c r="A27" s="3" t="s">
        <v>39</v>
      </c>
      <c r="B27">
        <v>352729</v>
      </c>
      <c r="E27" s="2" t="s">
        <v>49</v>
      </c>
      <c r="F27" t="s">
        <v>51</v>
      </c>
      <c r="I27" s="2" t="s">
        <v>49</v>
      </c>
      <c r="J27" t="s">
        <v>51</v>
      </c>
    </row>
    <row r="28" spans="1:10">
      <c r="A28" s="3" t="s">
        <v>40</v>
      </c>
      <c r="B28">
        <v>429172</v>
      </c>
      <c r="E28" s="3" t="s">
        <v>52</v>
      </c>
      <c r="F28">
        <v>915985</v>
      </c>
      <c r="I28" s="3" t="s">
        <v>59</v>
      </c>
      <c r="J28">
        <v>3935934</v>
      </c>
    </row>
    <row r="29" spans="1:10">
      <c r="A29" s="3" t="s">
        <v>41</v>
      </c>
      <c r="B29">
        <v>620723</v>
      </c>
      <c r="E29" s="3" t="s">
        <v>53</v>
      </c>
      <c r="F29">
        <v>2487794</v>
      </c>
      <c r="I29" s="3" t="s">
        <v>60</v>
      </c>
      <c r="J29">
        <v>1401257</v>
      </c>
    </row>
    <row r="30" spans="1:10">
      <c r="A30" s="3" t="s">
        <v>42</v>
      </c>
      <c r="B30">
        <v>333418</v>
      </c>
      <c r="E30" s="3" t="s">
        <v>54</v>
      </c>
      <c r="F30">
        <v>1666353</v>
      </c>
      <c r="I30" s="3" t="s">
        <v>50</v>
      </c>
      <c r="J30">
        <v>5337191</v>
      </c>
    </row>
    <row r="31" spans="1:10">
      <c r="A31" s="3" t="s">
        <v>43</v>
      </c>
      <c r="B31">
        <v>466553</v>
      </c>
      <c r="E31" s="3" t="s">
        <v>55</v>
      </c>
      <c r="F31">
        <v>2441882</v>
      </c>
    </row>
    <row r="32" spans="1:10">
      <c r="A32" s="3" t="s">
        <v>44</v>
      </c>
      <c r="B32">
        <v>372443</v>
      </c>
      <c r="E32" s="3" t="s">
        <v>56</v>
      </c>
      <c r="F32">
        <v>1435187</v>
      </c>
    </row>
    <row r="33" spans="1:6">
      <c r="A33" s="3" t="s">
        <v>50</v>
      </c>
      <c r="B33">
        <v>5337191</v>
      </c>
      <c r="E33" s="3" t="s">
        <v>57</v>
      </c>
      <c r="F33">
        <v>1118247</v>
      </c>
    </row>
    <row r="34" spans="1:6">
      <c r="A34" s="2" t="s">
        <v>5</v>
      </c>
      <c r="B34" t="s">
        <v>14</v>
      </c>
      <c r="E34" s="3" t="s">
        <v>58</v>
      </c>
      <c r="F34">
        <v>1774652</v>
      </c>
    </row>
    <row r="35" spans="1:6">
      <c r="E35" s="3" t="s">
        <v>50</v>
      </c>
      <c r="F35">
        <v>11840100</v>
      </c>
    </row>
    <row r="36" spans="1:6">
      <c r="A36" s="2" t="s">
        <v>49</v>
      </c>
      <c r="B36" t="s">
        <v>51</v>
      </c>
    </row>
    <row r="37" spans="1:6">
      <c r="A37" s="3" t="s">
        <v>21</v>
      </c>
      <c r="B37">
        <v>145828</v>
      </c>
    </row>
    <row r="38" spans="1:6">
      <c r="A38" s="3" t="s">
        <v>26</v>
      </c>
      <c r="B38">
        <v>417849</v>
      </c>
    </row>
    <row r="39" spans="1:6">
      <c r="A39" s="3" t="s">
        <v>25</v>
      </c>
      <c r="B39">
        <v>137469</v>
      </c>
    </row>
    <row r="40" spans="1:6">
      <c r="A40" s="3" t="s">
        <v>29</v>
      </c>
      <c r="B40">
        <v>203518</v>
      </c>
    </row>
    <row r="41" spans="1:6">
      <c r="A41" s="3" t="s">
        <v>17</v>
      </c>
      <c r="B41">
        <v>209726</v>
      </c>
    </row>
    <row r="42" spans="1:6">
      <c r="A42" s="3" t="s">
        <v>18</v>
      </c>
      <c r="B42">
        <v>159786</v>
      </c>
    </row>
    <row r="43" spans="1:6">
      <c r="A43" s="3" t="s">
        <v>27</v>
      </c>
      <c r="B43">
        <v>364439</v>
      </c>
    </row>
    <row r="44" spans="1:6">
      <c r="A44" s="3" t="s">
        <v>30</v>
      </c>
      <c r="B44">
        <v>127890</v>
      </c>
    </row>
    <row r="45" spans="1:6">
      <c r="A45" s="3" t="s">
        <v>16</v>
      </c>
      <c r="B45">
        <v>100267</v>
      </c>
    </row>
    <row r="46" spans="1:6">
      <c r="A46" s="3" t="s">
        <v>22</v>
      </c>
      <c r="B46">
        <v>2915193</v>
      </c>
    </row>
    <row r="47" spans="1:6">
      <c r="A47" s="3" t="s">
        <v>34</v>
      </c>
      <c r="B47">
        <v>353804</v>
      </c>
    </row>
    <row r="48" spans="1:6">
      <c r="A48" s="3" t="s">
        <v>32</v>
      </c>
      <c r="B48">
        <v>44794</v>
      </c>
    </row>
    <row r="49" spans="1:2">
      <c r="A49" s="3" t="s">
        <v>13</v>
      </c>
      <c r="B49">
        <v>156628</v>
      </c>
    </row>
    <row r="50" spans="1:2">
      <c r="A50" s="3" t="s">
        <v>50</v>
      </c>
      <c r="B50">
        <v>5337191</v>
      </c>
    </row>
    <row r="52" spans="1:2">
      <c r="A52" s="2" t="s">
        <v>5</v>
      </c>
      <c r="B52" t="s">
        <v>11</v>
      </c>
    </row>
    <row r="54" spans="1:2">
      <c r="A54" s="2" t="s">
        <v>49</v>
      </c>
      <c r="B54" t="s">
        <v>51</v>
      </c>
    </row>
    <row r="55" spans="1:2">
      <c r="A55" s="3" t="s">
        <v>20</v>
      </c>
      <c r="B55">
        <v>2140755</v>
      </c>
    </row>
    <row r="56" spans="1:2">
      <c r="A56" s="3" t="s">
        <v>28</v>
      </c>
      <c r="B56">
        <v>1387603</v>
      </c>
    </row>
    <row r="57" spans="1:2">
      <c r="A57" s="3" t="s">
        <v>31</v>
      </c>
      <c r="B57">
        <v>1724388</v>
      </c>
    </row>
    <row r="58" spans="1:2">
      <c r="A58" s="3" t="s">
        <v>23</v>
      </c>
      <c r="B58">
        <v>1187354</v>
      </c>
    </row>
    <row r="59" spans="1:2">
      <c r="A59" s="3" t="s">
        <v>9</v>
      </c>
      <c r="B59">
        <v>5400000</v>
      </c>
    </row>
    <row r="60" spans="1:2">
      <c r="A60" s="3" t="s">
        <v>50</v>
      </c>
      <c r="B60">
        <v>11840100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B66B-BF6F-4EB2-A4B6-63069F4ED9EC}">
  <dimension ref="A1:E10"/>
  <sheetViews>
    <sheetView showGridLines="0" tabSelected="1" zoomScale="90" zoomScaleNormal="90" workbookViewId="0">
      <selection activeCell="A3" sqref="A3"/>
    </sheetView>
  </sheetViews>
  <sheetFormatPr defaultRowHeight="15"/>
  <cols>
    <col min="1" max="1" width="9.140625" customWidth="1"/>
    <col min="2" max="2" width="37.5703125" bestFit="1" customWidth="1"/>
    <col min="3" max="3" width="35.28515625" bestFit="1" customWidth="1"/>
    <col min="4" max="4" width="39.5703125" bestFit="1" customWidth="1"/>
    <col min="5" max="5" width="23.28515625" bestFit="1" customWidth="1"/>
  </cols>
  <sheetData>
    <row r="1" spans="1:5" ht="36">
      <c r="A1" s="12" t="s">
        <v>65</v>
      </c>
      <c r="B1" s="12"/>
      <c r="C1" s="12"/>
      <c r="D1" s="12"/>
      <c r="E1" s="12"/>
    </row>
    <row r="3" spans="1:5" ht="31.5">
      <c r="A3" s="7"/>
      <c r="B3" s="11" t="s">
        <v>61</v>
      </c>
      <c r="C3" s="11" t="s">
        <v>62</v>
      </c>
      <c r="D3" s="11" t="s">
        <v>63</v>
      </c>
      <c r="E3" s="11" t="s">
        <v>64</v>
      </c>
    </row>
    <row r="4" spans="1:5" ht="31.5">
      <c r="A4" s="7"/>
      <c r="B4" s="10">
        <f>SUMIFS(FinanceData[Amount (₦)],FinanceData[Type],"Income")</f>
        <v>11840100</v>
      </c>
      <c r="C4" s="8">
        <f>SUMIFS(FinanceData[Amount (₦)],FinanceData[Type],"Expense")</f>
        <v>5337191</v>
      </c>
      <c r="D4" s="9">
        <f>B4-C4</f>
        <v>6502909</v>
      </c>
      <c r="E4" s="6">
        <f>D4/B4</f>
        <v>0.54922754030793663</v>
      </c>
    </row>
    <row r="7" spans="1:5">
      <c r="B7" s="5"/>
    </row>
    <row r="10" spans="1:5">
      <c r="B10" s="4"/>
    </row>
  </sheetData>
  <mergeCells count="1">
    <mergeCell ref="A1:E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Transactions</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2026-06-30T05:25:49Z</dcterms:created>
  <dcterms:modified xsi:type="dcterms:W3CDTF">2026-07-02T20:22:22Z</dcterms:modified>
</cp:coreProperties>
</file>